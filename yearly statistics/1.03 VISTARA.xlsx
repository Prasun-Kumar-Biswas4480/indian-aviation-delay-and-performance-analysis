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VISTARA\"/>
    </mc:Choice>
  </mc:AlternateContent>
  <bookViews>
    <workbookView xWindow="0" yWindow="0" windowWidth="24000" windowHeight="9435"/>
  </bookViews>
  <sheets>
    <sheet name="VISTA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6" i="1"/>
  <c r="H6" i="1"/>
  <c r="H18" i="1" l="1"/>
  <c r="Q13" i="1"/>
  <c r="Q12" i="1"/>
  <c r="Q11" i="1"/>
  <c r="Q10" i="1"/>
  <c r="Q9" i="1"/>
  <c r="Q8" i="1"/>
  <c r="Q7" i="1"/>
  <c r="H12" i="1"/>
  <c r="H11" i="1"/>
  <c r="H10" i="1"/>
  <c r="H9" i="1"/>
  <c r="H8" i="1"/>
  <c r="H7" i="1"/>
</calcChain>
</file>

<file path=xl/sharedStrings.xml><?xml version="1.0" encoding="utf-8"?>
<sst xmlns="http://schemas.openxmlformats.org/spreadsheetml/2006/main" count="26" uniqueCount="24">
  <si>
    <t xml:space="preserve">तालिका 1.03 (विस्तारा) </t>
  </si>
  <si>
    <t>Table 1.03 (VISTARA)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</si>
  <si>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</si>
  <si>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</si>
  <si>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</si>
  <si>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</si>
  <si>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</si>
  <si>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</si>
  <si>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</si>
  <si>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</si>
  <si>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</si>
  <si>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</si>
  <si>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</si>
  <si>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</si>
  <si>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</si>
  <si>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</si>
  <si>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</si>
  <si>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</si>
  <si>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</si>
  <si>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</si>
  <si>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</si>
  <si>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VISTARA</t>
  </si>
  <si>
    <t>MONTHLY TRAFFIC AND OPERATING STATISTICS OF VISTARA ON SCHEDULED (DOMESTIC + INTERNATIONAL)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</si>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</sst>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_(* #,##0.0_);_(* \(#,##0.0\);_(* &quot;-&quot;??_);_(@_)"/>
    <numFmt numFmtId="166" formatCode="#,##0.0"/>
    <numFmt numFmtId="167" formatCode="_(* #,##0_);_(* \(#,##0\);_(* &quot;-&quot;??_);_(@_)"/>
    <numFmt numFmtId="168" formatCode="[$-409]mmmm/yy;@"/>
    <numFmt numFmtId="169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6" borderId="0" applyNumberFormat="0" applyBorder="0" applyAlignment="0" applyProtection="0"/>
  </cellStyleXfs>
  <cellXfs count="27">
    <xf numFmtId="0" fontId="0" fillId="0" borderId="0" xfId="0"/>
    <xf numFmtId="165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center" vertical="center" wrapText="1"/>
    </xf>
    <xf numFmtId="166" fontId="2" fillId="3" borderId="1" xfId="3" applyNumberFormat="1" applyFont="1" applyBorder="1" applyAlignment="1" applyProtection="1">
      <alignment horizontal="right" vertical="center" wrapText="1"/>
    </xf>
    <xf numFmtId="167" fontId="1" fillId="3" borderId="1" xfId="3" applyNumberFormat="1" applyBorder="1" applyAlignment="1">
      <alignment horizontal="center" vertical="center"/>
    </xf>
    <xf numFmtId="166" fontId="2" fillId="3" borderId="1" xfId="3" applyNumberFormat="1" applyFont="1" applyBorder="1" applyAlignment="1" applyProtection="1">
      <alignment horizontal="center" vertical="center" wrapText="1"/>
    </xf>
    <xf numFmtId="165" fontId="2" fillId="3" borderId="1" xfId="3" applyNumberFormat="1" applyFont="1" applyBorder="1" applyAlignment="1">
      <alignment horizontal="center" vertical="center"/>
    </xf>
    <xf numFmtId="0" fontId="4" fillId="2" borderId="1" xfId="2" applyFont="1" applyBorder="1" applyAlignment="1" applyProtection="1">
      <alignment horizontal="center" vertical="center" textRotation="90" wrapText="1"/>
    </xf>
    <xf numFmtId="165" fontId="0" fillId="3" borderId="1" xfId="3" applyNumberFormat="1" applyFont="1" applyBorder="1" applyAlignment="1">
      <alignment horizontal="center" vertical="center"/>
    </xf>
    <xf numFmtId="165" fontId="1" fillId="5" borderId="1" xfId="3" applyNumberForma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  <xf numFmtId="168" fontId="2" fillId="7" borderId="1" xfId="4" applyNumberFormat="1" applyFont="1" applyFill="1" applyBorder="1" applyAlignment="1" applyProtection="1">
      <alignment horizontal="center" vertical="center" wrapText="1"/>
    </xf>
    <xf numFmtId="165" fontId="4" fillId="5" borderId="1" xfId="3" applyNumberFormat="1" applyFont="1" applyFill="1" applyBorder="1" applyAlignment="1">
      <alignment horizontal="center" vertical="center"/>
    </xf>
    <xf numFmtId="165" fontId="4" fillId="5" borderId="1" xfId="1" applyNumberFormat="1" applyFont="1" applyFill="1" applyBorder="1" applyAlignment="1">
      <alignment horizontal="center" vertical="center"/>
    </xf>
    <xf numFmtId="165" fontId="4" fillId="3" borderId="1" xfId="3" applyNumberFormat="1" applyFont="1" applyBorder="1" applyAlignment="1">
      <alignment horizontal="center" vertical="center"/>
    </xf>
    <xf numFmtId="169" fontId="1" fillId="7" borderId="1" xfId="4" applyNumberFormat="1" applyFill="1" applyBorder="1" applyAlignment="1" applyProtection="1">
      <alignment horizontal="center" vertical="center" wrapText="1"/>
    </xf>
    <xf numFmtId="169" fontId="1" fillId="5" borderId="1" xfId="4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5">
    <cellStyle name="40% - Accent1" xfId="3" builtinId="31"/>
    <cellStyle name="40% - Accent6" xfId="4" builtinId="5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Normal="93" zoomScaleSheetLayoutView="100" workbookViewId="0">
      <selection activeCell="K9" sqref="K9"/>
    </sheetView>
  </sheetViews>
  <sheetFormatPr defaultRowHeight="18" customHeight="1" x14ac:dyDescent="0.25"/>
  <cols>
    <col min="1" max="1" width="13.5703125" customWidth="1"/>
    <col min="2" max="2" width="11.28515625" customWidth="1"/>
    <col min="3" max="3" width="10.140625" customWidth="1"/>
    <col min="4" max="4" width="10" bestFit="1" customWidth="1"/>
    <col min="5" max="5" width="12.7109375" customWidth="1"/>
    <col min="6" max="6" width="12.140625" customWidth="1"/>
    <col min="7" max="7" width="11.42578125" customWidth="1"/>
    <col min="8" max="8" width="8.140625" customWidth="1"/>
    <col min="9" max="9" width="10.28515625" customWidth="1"/>
    <col min="10" max="12" width="10.140625" customWidth="1"/>
    <col min="13" max="13" width="9.42578125" customWidth="1"/>
    <col min="14" max="14" width="8.140625" customWidth="1"/>
    <col min="15" max="15" width="9.7109375" customWidth="1"/>
    <col min="16" max="16" width="11.5703125" customWidth="1"/>
    <col min="17" max="17" width="8.140625" customWidth="1"/>
  </cols>
  <sheetData>
    <row r="1" spans="1:17" ht="18" customHeight="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18" customHeight="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8" customHeight="1" x14ac:dyDescent="0.25">
      <c r="A3" s="25" t="s">
        <v>22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ht="30.75" customHeight="1" x14ac:dyDescent="0.25">
      <c r="A4" s="25" t="s">
        <v>2</v>
      </c>
      <c r="B4" s="25" t="s">
        <v>3</v>
      </c>
      <c r="C4" s="25"/>
      <c r="D4" s="25"/>
      <c r="E4" s="25" t="s">
        <v>4</v>
      </c>
      <c r="F4" s="26"/>
      <c r="G4" s="17" t="s">
        <v>5</v>
      </c>
      <c r="H4" s="17" t="s">
        <v>6</v>
      </c>
      <c r="I4" s="25" t="s">
        <v>7</v>
      </c>
      <c r="J4" s="25"/>
      <c r="K4" s="25"/>
      <c r="L4" s="25" t="s">
        <v>8</v>
      </c>
      <c r="M4" s="25"/>
      <c r="N4" s="25"/>
      <c r="O4" s="25"/>
      <c r="P4" s="17" t="s">
        <v>9</v>
      </c>
      <c r="Q4" s="17" t="s">
        <v>10</v>
      </c>
    </row>
    <row r="5" spans="1:17" ht="100.9" customHeight="1" x14ac:dyDescent="0.25">
      <c r="A5" s="25"/>
      <c r="B5" s="7" t="s">
        <v>11</v>
      </c>
      <c r="C5" s="7" t="s">
        <v>12</v>
      </c>
      <c r="D5" s="7" t="s">
        <v>13</v>
      </c>
      <c r="E5" s="7" t="s">
        <v>14</v>
      </c>
      <c r="F5" s="7" t="s">
        <v>15</v>
      </c>
      <c r="G5" s="18"/>
      <c r="H5" s="18"/>
      <c r="I5" s="7" t="s">
        <v>16</v>
      </c>
      <c r="J5" s="7" t="s">
        <v>17</v>
      </c>
      <c r="K5" s="7" t="s">
        <v>18</v>
      </c>
      <c r="L5" s="7" t="s">
        <v>19</v>
      </c>
      <c r="M5" s="7" t="s">
        <v>20</v>
      </c>
      <c r="N5" s="7" t="s">
        <v>17</v>
      </c>
      <c r="O5" s="7" t="s">
        <v>18</v>
      </c>
      <c r="P5" s="18"/>
      <c r="Q5" s="18"/>
    </row>
    <row r="6" spans="1:17" ht="18" customHeight="1" x14ac:dyDescent="0.25">
      <c r="A6" s="15">
        <v>45383</v>
      </c>
      <c r="B6" s="1">
        <v>9479</v>
      </c>
      <c r="C6" s="4">
        <v>14837.0933</v>
      </c>
      <c r="D6" s="4">
        <v>13377.246000000001</v>
      </c>
      <c r="E6" s="4">
        <v>1458144</v>
      </c>
      <c r="F6" s="1">
        <v>2174.0392189999998</v>
      </c>
      <c r="G6" s="1">
        <v>2548.3606829999999</v>
      </c>
      <c r="H6" s="8">
        <f t="shared" ref="H6:H18" si="0">F6/G6*100</f>
        <v>85.311283975730674</v>
      </c>
      <c r="I6" s="1">
        <v>8443.139009999999</v>
      </c>
      <c r="J6" s="1">
        <v>338.26012000000009</v>
      </c>
      <c r="K6" s="1">
        <v>8781.3991299999998</v>
      </c>
      <c r="L6" s="1">
        <v>209.0492329949999</v>
      </c>
      <c r="M6" s="1">
        <v>7.4828793701688241</v>
      </c>
      <c r="N6" s="1">
        <v>0.42750829299999998</v>
      </c>
      <c r="O6" s="1">
        <v>216.95962065816872</v>
      </c>
      <c r="P6" s="1">
        <v>306.626929421</v>
      </c>
      <c r="Q6" s="8">
        <f t="shared" ref="Q6" si="1">O6/P6*100</f>
        <v>70.756870920584504</v>
      </c>
    </row>
    <row r="7" spans="1:17" ht="18" customHeight="1" x14ac:dyDescent="0.25">
      <c r="A7" s="16">
        <v>45413</v>
      </c>
      <c r="B7" s="9">
        <v>9596</v>
      </c>
      <c r="C7" s="9">
        <v>20077.933300000001</v>
      </c>
      <c r="D7" s="9">
        <v>13788.906999999999</v>
      </c>
      <c r="E7" s="9">
        <v>1522233</v>
      </c>
      <c r="F7" s="9">
        <v>2303.4713750000001</v>
      </c>
      <c r="G7" s="9">
        <v>2620.2713409999997</v>
      </c>
      <c r="H7" s="10">
        <f t="shared" si="0"/>
        <v>87.909650384562994</v>
      </c>
      <c r="I7" s="9">
        <v>9694.4067600000017</v>
      </c>
      <c r="J7" s="9">
        <v>384.83612000000005</v>
      </c>
      <c r="K7" s="9">
        <v>10079.242880000002</v>
      </c>
      <c r="L7" s="9">
        <v>221.386231245</v>
      </c>
      <c r="M7" s="9">
        <v>24.652725545860001</v>
      </c>
      <c r="N7" s="9">
        <v>0.46146960355</v>
      </c>
      <c r="O7" s="9">
        <v>246.50042639441</v>
      </c>
      <c r="P7" s="9">
        <v>314.28901225699997</v>
      </c>
      <c r="Q7" s="10">
        <f t="shared" ref="Q7:Q13" si="2">O7/P7*100</f>
        <v>78.431130832166048</v>
      </c>
    </row>
    <row r="8" spans="1:17" ht="18" customHeight="1" x14ac:dyDescent="0.25">
      <c r="A8" s="15">
        <v>45444</v>
      </c>
      <c r="B8" s="1">
        <v>9841</v>
      </c>
      <c r="C8" s="1">
        <v>20648.2</v>
      </c>
      <c r="D8" s="1">
        <v>14123.068000000001</v>
      </c>
      <c r="E8" s="1">
        <v>1525304</v>
      </c>
      <c r="F8" s="1">
        <v>2330.4284860000002</v>
      </c>
      <c r="G8" s="1">
        <v>2693.8271730000001</v>
      </c>
      <c r="H8" s="1">
        <f t="shared" si="0"/>
        <v>86.509947978759953</v>
      </c>
      <c r="I8" s="1">
        <v>10708.9421</v>
      </c>
      <c r="J8" s="1">
        <v>391.74834000000004</v>
      </c>
      <c r="K8" s="1">
        <v>11100.690439999998</v>
      </c>
      <c r="L8" s="1">
        <v>224.10663984000001</v>
      </c>
      <c r="M8" s="1">
        <v>29.641792342340004</v>
      </c>
      <c r="N8" s="1">
        <v>0.47003904111</v>
      </c>
      <c r="O8" s="1">
        <v>254.21847122345002</v>
      </c>
      <c r="P8" s="1">
        <v>325.24956252999999</v>
      </c>
      <c r="Q8" s="1">
        <f t="shared" si="2"/>
        <v>78.161049394186875</v>
      </c>
    </row>
    <row r="9" spans="1:17" ht="18" customHeight="1" x14ac:dyDescent="0.25">
      <c r="A9" s="16">
        <v>45474</v>
      </c>
      <c r="B9" s="9">
        <v>10114</v>
      </c>
      <c r="C9" s="9">
        <v>21669.516666666666</v>
      </c>
      <c r="D9" s="9">
        <v>14623.124</v>
      </c>
      <c r="E9" s="9">
        <v>1539629</v>
      </c>
      <c r="F9" s="9">
        <v>2332.6417499999998</v>
      </c>
      <c r="G9" s="9">
        <v>2805.367272</v>
      </c>
      <c r="H9" s="10">
        <f t="shared" si="0"/>
        <v>83.149246563249974</v>
      </c>
      <c r="I9" s="9">
        <v>10870.600139999999</v>
      </c>
      <c r="J9" s="9">
        <v>430.74411999999995</v>
      </c>
      <c r="K9" s="9">
        <v>11301.34426</v>
      </c>
      <c r="L9" s="9">
        <v>224.13606027</v>
      </c>
      <c r="M9" s="9">
        <v>30.33026330700001</v>
      </c>
      <c r="N9" s="9">
        <v>0.52141496486000005</v>
      </c>
      <c r="O9" s="9">
        <v>254.98773854186004</v>
      </c>
      <c r="P9" s="9">
        <v>341.183518875</v>
      </c>
      <c r="Q9" s="10">
        <f t="shared" si="2"/>
        <v>74.736241475743839</v>
      </c>
    </row>
    <row r="10" spans="1:17" ht="18" customHeight="1" x14ac:dyDescent="0.25">
      <c r="A10" s="15">
        <v>45505</v>
      </c>
      <c r="B10" s="1">
        <v>10560</v>
      </c>
      <c r="C10" s="1">
        <v>21884.9666</v>
      </c>
      <c r="D10" s="1">
        <v>14797.441000000001</v>
      </c>
      <c r="E10" s="1">
        <v>1593163</v>
      </c>
      <c r="F10" s="1">
        <v>2355.827761</v>
      </c>
      <c r="G10" s="1">
        <v>2833.928132</v>
      </c>
      <c r="H10" s="1">
        <f t="shared" si="0"/>
        <v>83.12941088373374</v>
      </c>
      <c r="I10" s="1">
        <v>10584.78666</v>
      </c>
      <c r="J10" s="1">
        <v>423.30836999999991</v>
      </c>
      <c r="K10" s="1">
        <v>11008.09503</v>
      </c>
      <c r="L10" s="1">
        <v>225.91511403000001</v>
      </c>
      <c r="M10" s="1">
        <v>28.025126586829998</v>
      </c>
      <c r="N10" s="1">
        <v>0.50327269438</v>
      </c>
      <c r="O10" s="14">
        <v>254.44351331120998</v>
      </c>
      <c r="P10" s="1">
        <v>344.75750631699998</v>
      </c>
      <c r="Q10" s="1">
        <f t="shared" si="2"/>
        <v>73.803618093597805</v>
      </c>
    </row>
    <row r="11" spans="1:17" ht="18" customHeight="1" x14ac:dyDescent="0.25">
      <c r="A11" s="16">
        <v>45536</v>
      </c>
      <c r="B11" s="9">
        <v>10000</v>
      </c>
      <c r="C11" s="9">
        <v>20611.05</v>
      </c>
      <c r="D11" s="9">
        <v>14047.136</v>
      </c>
      <c r="E11" s="9">
        <v>1521410</v>
      </c>
      <c r="F11" s="9">
        <v>2214.5581550000002</v>
      </c>
      <c r="G11" s="9">
        <v>2675.0833750000002</v>
      </c>
      <c r="H11" s="10">
        <f t="shared" si="0"/>
        <v>82.784640497420014</v>
      </c>
      <c r="I11" s="9">
        <v>10408.449030000003</v>
      </c>
      <c r="J11" s="9">
        <v>431.1699799999999</v>
      </c>
      <c r="K11" s="9">
        <v>10839.619010000004</v>
      </c>
      <c r="L11" s="9">
        <v>211.56511549499999</v>
      </c>
      <c r="M11" s="9">
        <v>27.199488225390002</v>
      </c>
      <c r="N11" s="9">
        <v>0.51452846031999999</v>
      </c>
      <c r="O11" s="9">
        <v>239.27913218071001</v>
      </c>
      <c r="P11" s="9">
        <v>324.51600358899998</v>
      </c>
      <c r="Q11" s="10">
        <f t="shared" si="2"/>
        <v>73.734154720997182</v>
      </c>
    </row>
    <row r="12" spans="1:17" ht="18" customHeight="1" x14ac:dyDescent="0.25">
      <c r="A12" s="15">
        <v>45566</v>
      </c>
      <c r="B12" s="1">
        <v>10058</v>
      </c>
      <c r="C12" s="1">
        <v>20981.983333333334</v>
      </c>
      <c r="D12" s="1">
        <v>14408.362999999999</v>
      </c>
      <c r="E12" s="1">
        <v>1457000</v>
      </c>
      <c r="F12" s="1">
        <v>2145.1901090000001</v>
      </c>
      <c r="G12" s="1">
        <v>2761.3791190000002</v>
      </c>
      <c r="H12" s="1">
        <f t="shared" si="0"/>
        <v>77.685461378329492</v>
      </c>
      <c r="I12" s="1">
        <v>10355.778270000003</v>
      </c>
      <c r="J12" s="1">
        <v>388.65454</v>
      </c>
      <c r="K12" s="1">
        <v>10744.432810000002</v>
      </c>
      <c r="L12" s="1">
        <v>205.38167659500002</v>
      </c>
      <c r="M12" s="1">
        <v>28.219754924450001</v>
      </c>
      <c r="N12" s="1">
        <v>0.46429267966999999</v>
      </c>
      <c r="O12" s="14">
        <v>234.06572419912004</v>
      </c>
      <c r="P12" s="1">
        <v>337.23763369999995</v>
      </c>
      <c r="Q12" s="14">
        <f t="shared" si="2"/>
        <v>69.406762712414348</v>
      </c>
    </row>
    <row r="13" spans="1:17" ht="18" customHeight="1" x14ac:dyDescent="0.25">
      <c r="A13" s="16">
        <v>45597</v>
      </c>
      <c r="B13" s="9">
        <v>3299</v>
      </c>
      <c r="C13" s="9">
        <v>6937.8166666666657</v>
      </c>
      <c r="D13" s="9">
        <v>4785.6170000000002</v>
      </c>
      <c r="E13" s="9">
        <v>494912</v>
      </c>
      <c r="F13" s="9">
        <v>739.13769200000002</v>
      </c>
      <c r="G13" s="9">
        <v>920.82769400000006</v>
      </c>
      <c r="H13" s="10">
        <f>F13/G13*100</f>
        <v>80.268838221974676</v>
      </c>
      <c r="I13" s="9">
        <v>1710.4233200000006</v>
      </c>
      <c r="J13" s="9">
        <v>72.633440000000007</v>
      </c>
      <c r="K13" s="9">
        <v>1783.0567600000004</v>
      </c>
      <c r="L13" s="9">
        <v>70.958567459999998</v>
      </c>
      <c r="M13" s="9">
        <v>4.4267908597699996</v>
      </c>
      <c r="N13" s="9">
        <v>8.6401204080000002E-2</v>
      </c>
      <c r="O13" s="9">
        <v>75.471759523849997</v>
      </c>
      <c r="P13" s="9">
        <v>112.42943583900001</v>
      </c>
      <c r="Q13" s="13">
        <f t="shared" si="2"/>
        <v>67.128113701403123</v>
      </c>
    </row>
    <row r="14" spans="1:17" ht="18" customHeight="1" x14ac:dyDescent="0.25">
      <c r="A14" s="15">
        <v>45627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4"/>
      <c r="P14" s="1"/>
      <c r="Q14" s="14"/>
    </row>
    <row r="15" spans="1:17" ht="18" customHeight="1" x14ac:dyDescent="0.25">
      <c r="A15" s="16">
        <v>45658</v>
      </c>
      <c r="B15" s="9"/>
      <c r="C15" s="9"/>
      <c r="D15" s="9"/>
      <c r="E15" s="9"/>
      <c r="F15" s="9"/>
      <c r="G15" s="9"/>
      <c r="H15" s="10"/>
      <c r="I15" s="9"/>
      <c r="J15" s="9"/>
      <c r="K15" s="9"/>
      <c r="L15" s="9"/>
      <c r="M15" s="9"/>
      <c r="N15" s="9"/>
      <c r="O15" s="9"/>
      <c r="P15" s="9"/>
      <c r="Q15" s="13"/>
    </row>
    <row r="16" spans="1:17" ht="18" customHeight="1" x14ac:dyDescent="0.25">
      <c r="A16" s="15">
        <v>45689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4"/>
      <c r="P16" s="1"/>
      <c r="Q16" s="14"/>
    </row>
    <row r="17" spans="1:17" ht="18" customHeight="1" x14ac:dyDescent="0.25">
      <c r="A17" s="16">
        <v>45717</v>
      </c>
      <c r="B17" s="9"/>
      <c r="C17" s="9"/>
      <c r="D17" s="9"/>
      <c r="E17" s="9"/>
      <c r="F17" s="12"/>
      <c r="G17" s="9"/>
      <c r="H17" s="13"/>
      <c r="I17" s="12"/>
      <c r="J17" s="12"/>
      <c r="K17" s="12"/>
      <c r="L17" s="12"/>
      <c r="M17" s="12"/>
      <c r="N17" s="9"/>
      <c r="O17" s="12"/>
      <c r="P17" s="9"/>
      <c r="Q17" s="13"/>
    </row>
    <row r="18" spans="1:17" ht="18" customHeight="1" x14ac:dyDescent="0.25">
      <c r="A18" s="11" t="s">
        <v>23</v>
      </c>
      <c r="B18" s="6">
        <f>SUM(B6:B17)</f>
        <v>72947</v>
      </c>
      <c r="C18" s="5">
        <f t="shared" ref="C18:G18" si="3">SUM(C6:C17)</f>
        <v>147648.55986666668</v>
      </c>
      <c r="D18" s="2">
        <f t="shared" si="3"/>
        <v>103950.902</v>
      </c>
      <c r="E18" s="2">
        <f t="shared" si="3"/>
        <v>11111795</v>
      </c>
      <c r="F18" s="3">
        <f t="shared" si="3"/>
        <v>16595.294547000001</v>
      </c>
      <c r="G18" s="3">
        <f t="shared" si="3"/>
        <v>19859.044789</v>
      </c>
      <c r="H18" s="1">
        <f t="shared" si="0"/>
        <v>83.565421818234682</v>
      </c>
      <c r="I18" s="5">
        <f t="shared" ref="I18:P18" si="4">SUM(I6:I17)</f>
        <v>72776.525290000005</v>
      </c>
      <c r="J18" s="5">
        <f t="shared" si="4"/>
        <v>2861.3550300000002</v>
      </c>
      <c r="K18" s="5">
        <f t="shared" si="4"/>
        <v>75637.880320000011</v>
      </c>
      <c r="L18" s="3">
        <f t="shared" si="4"/>
        <v>1592.4986379300001</v>
      </c>
      <c r="M18" s="3">
        <f t="shared" si="4"/>
        <v>179.97882116180884</v>
      </c>
      <c r="N18" s="3">
        <f t="shared" si="4"/>
        <v>3.4489269409699994</v>
      </c>
      <c r="O18" s="3">
        <f t="shared" si="4"/>
        <v>1775.9263860327787</v>
      </c>
      <c r="P18" s="3">
        <f t="shared" si="4"/>
        <v>2406.2896025279997</v>
      </c>
      <c r="Q18" s="6">
        <f>O18/P18*100</f>
        <v>73.803518253456531</v>
      </c>
    </row>
    <row r="19" spans="1:17" ht="18" customHeight="1" x14ac:dyDescent="0.25">
      <c r="A19" s="19" t="s">
        <v>21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4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VISTARA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2020-06-15T06:18:00Z</cp:lastPrinted>
  <dcterms:created xsi:type="dcterms:W3CDTF">2020-06-03T10:43:05Z</dcterms:created>
  <dcterms:modified xsi:type="dcterms:W3CDTF">2025-11-20T07:22:45Z</dcterms:modified>
</cp:coreProperties>
</file>