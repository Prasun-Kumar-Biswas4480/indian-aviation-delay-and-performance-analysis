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IX CONNECT\"/>
    </mc:Choice>
  </mc:AlternateContent>
  <bookViews>
    <workbookView xWindow="-120" yWindow="-120" windowWidth="20730" windowHeight="11160"/>
  </bookViews>
  <sheets>
    <sheet name="AIX CONNECT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3" l="1"/>
  <c r="H6" i="3"/>
  <c r="P18" i="3" l="1"/>
  <c r="O18" i="3"/>
  <c r="N18" i="3"/>
  <c r="M18" i="3"/>
  <c r="L18" i="3"/>
  <c r="K18" i="3"/>
  <c r="J18" i="3"/>
  <c r="I18" i="3"/>
  <c r="G18" i="3"/>
  <c r="F18" i="3"/>
  <c r="E18" i="3"/>
  <c r="D18" i="3"/>
  <c r="C18" i="3"/>
  <c r="B18" i="3"/>
  <c r="Q18" i="3" l="1"/>
  <c r="H18" i="3"/>
  <c r="Q7" i="3"/>
  <c r="Q8" i="3"/>
  <c r="Q9" i="3"/>
  <c r="Q10" i="3"/>
  <c r="Q11" i="3"/>
  <c r="H7" i="3"/>
  <c r="H8" i="3"/>
  <c r="H9" i="3"/>
  <c r="H10" i="3"/>
  <c r="H11" i="3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<sst xmlns="http://schemas.openxmlformats.org/spreadsheetml/2006/main" count="26" uniqueCount="24">
  <si>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</si>
  <si>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</si>
  <si>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</si>
  <si>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</si>
  <si>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</si>
  <si>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</si>
  <si>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</si>
  <si>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</si>
  <si>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</si>
  <si>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</si>
  <si>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</si>
  <si>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</si>
  <si>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</si>
  <si>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</si>
  <si>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</si>
  <si>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</si>
  <si>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</si>
  <si>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</si>
  <si>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</si>
  <si>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1.01 (AIX CONNECT)</t>
  </si>
  <si>
    <t>SOURCE:-  ICAO ATR FORM 'A' FURNISHED BY AIX CONNECT</t>
  </si>
  <si>
    <t xml:space="preserve">तालिका 1.01 (ए आई एक्स कनेक्ट) </t>
  </si>
  <si>
    <t>2024-25</t>
  </si>
  <si>
    <t>MONTHLY TRAFFIC AND OPERATING STATISTICS OF AIX CONNECT ON SCHEDULED DOMESTIC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</si>
</sst>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27">
    <xf numFmtId="0" fontId="0" fillId="0" borderId="0" xfId="0"/>
    <xf numFmtId="165" fontId="2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2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4" fillId="3" borderId="1" xfId="2" applyBorder="1" applyAlignment="1" applyProtection="1">
      <alignment horizontal="center" vertical="center" textRotation="90" wrapText="1"/>
    </xf>
    <xf numFmtId="0" fontId="0" fillId="0" borderId="0" xfId="0" applyAlignment="1"/>
    <xf numFmtId="0" fontId="3" fillId="4" borderId="1" xfId="3" applyFont="1" applyBorder="1" applyAlignment="1" applyProtection="1">
      <alignment horizontal="center" vertical="center"/>
    </xf>
    <xf numFmtId="3" fontId="3" fillId="4" borderId="1" xfId="3" applyNumberFormat="1" applyFont="1" applyBorder="1" applyAlignment="1" applyProtection="1">
      <alignment horizontal="right" vertical="center"/>
    </xf>
    <xf numFmtId="167" fontId="3" fillId="4" borderId="1" xfId="3" applyNumberFormat="1" applyFont="1" applyBorder="1" applyAlignment="1" applyProtection="1">
      <alignment horizontal="right" vertical="center"/>
    </xf>
    <xf numFmtId="166" fontId="3" fillId="4" borderId="1" xfId="3" applyNumberFormat="1" applyFont="1" applyBorder="1" applyAlignment="1" applyProtection="1">
      <alignment horizontal="right" vertical="center"/>
    </xf>
    <xf numFmtId="166" fontId="3" fillId="4" borderId="1" xfId="3" applyNumberFormat="1" applyFont="1" applyBorder="1" applyAlignment="1">
      <alignment horizontal="right" vertical="center"/>
    </xf>
    <xf numFmtId="168" fontId="2" fillId="4" borderId="1" xfId="3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0" fillId="4" borderId="1" xfId="3" applyFont="1" applyBorder="1" applyAlignment="1">
      <alignment horizontal="center" vertical="center" wrapText="1"/>
    </xf>
    <xf numFmtId="0" fontId="2" fillId="4" borderId="1" xfId="3" applyBorder="1" applyAlignment="1">
      <alignment horizontal="center" vertical="center" wrapText="1"/>
    </xf>
    <xf numFmtId="0" fontId="0" fillId="4" borderId="1" xfId="3" quotePrefix="1" applyFont="1" applyBorder="1" applyAlignment="1" applyProtection="1">
      <alignment horizontal="center" vertical="center" wrapText="1"/>
    </xf>
    <xf numFmtId="0" fontId="2" fillId="4" borderId="1" xfId="3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  <xf numFmtId="0" fontId="4" fillId="3" borderId="5" xfId="2" applyBorder="1" applyAlignment="1" applyProtection="1">
      <alignment horizontal="center" vertical="center" textRotation="90" wrapText="1"/>
    </xf>
    <xf numFmtId="0" fontId="4" fillId="3" borderId="6" xfId="2" applyBorder="1" applyAlignment="1" applyProtection="1">
      <alignment horizontal="center" vertical="center" textRotation="90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Normal="100" zoomScaleSheetLayoutView="100" workbookViewId="0">
      <selection activeCell="J5" sqref="J5"/>
    </sheetView>
  </sheetViews>
  <sheetFormatPr defaultRowHeight="15" x14ac:dyDescent="0.25"/>
  <cols>
    <col min="1" max="1" width="15.5703125" customWidth="1"/>
    <col min="2" max="2" width="10.7109375" customWidth="1"/>
    <col min="3" max="3" width="9.140625" customWidth="1"/>
    <col min="4" max="4" width="11" customWidth="1"/>
    <col min="5" max="5" width="12.42578125" customWidth="1"/>
    <col min="6" max="6" width="7.140625" customWidth="1"/>
    <col min="7" max="7" width="7.5703125" customWidth="1"/>
    <col min="8" max="8" width="8.140625" customWidth="1"/>
    <col min="9" max="9" width="10.5703125" customWidth="1"/>
    <col min="10" max="10" width="9.28515625" customWidth="1"/>
    <col min="11" max="11" width="11.28515625" customWidth="1"/>
    <col min="12" max="12" width="6.7109375" customWidth="1"/>
    <col min="13" max="13" width="7.28515625" customWidth="1"/>
    <col min="14" max="14" width="7.140625" customWidth="1"/>
    <col min="15" max="15" width="7.85546875" customWidth="1"/>
    <col min="16" max="17" width="7.5703125" customWidth="1"/>
  </cols>
  <sheetData>
    <row r="1" spans="1:17" x14ac:dyDescent="0.25">
      <c r="A1" s="19" t="s">
        <v>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36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2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119.25" customHeight="1" x14ac:dyDescent="0.25">
      <c r="A5" s="2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5"/>
      <c r="H5" s="26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5"/>
      <c r="Q5" s="15"/>
    </row>
    <row r="6" spans="1:17" x14ac:dyDescent="0.25">
      <c r="A6" s="12">
        <v>45383</v>
      </c>
      <c r="B6" s="1">
        <v>4687</v>
      </c>
      <c r="C6" s="1">
        <v>8917.0999999999985</v>
      </c>
      <c r="D6" s="1">
        <v>4846.2390000000023</v>
      </c>
      <c r="E6" s="1">
        <v>716857</v>
      </c>
      <c r="F6" s="1">
        <v>749.77224999999987</v>
      </c>
      <c r="G6" s="1">
        <v>873.58338000000037</v>
      </c>
      <c r="H6" s="3">
        <f t="shared" ref="H6:H18" si="0">F6/G6*100</f>
        <v>85.827210906874114</v>
      </c>
      <c r="I6" s="3">
        <v>2809.0469299999991</v>
      </c>
      <c r="J6" s="3">
        <v>226.12318000000002</v>
      </c>
      <c r="K6" s="3">
        <v>3035.1701099999991</v>
      </c>
      <c r="L6" s="3">
        <v>56.23291875000001</v>
      </c>
      <c r="M6" s="3">
        <v>3.4665072493200024</v>
      </c>
      <c r="N6" s="3">
        <v>0.19414448764999997</v>
      </c>
      <c r="O6" s="3">
        <v>59.893570486970013</v>
      </c>
      <c r="P6" s="3">
        <v>96.924779999999998</v>
      </c>
      <c r="Q6" s="3">
        <f t="shared" ref="Q6:Q18" si="1">O6/P6*100</f>
        <v>61.79386787049711</v>
      </c>
    </row>
    <row r="7" spans="1:17" x14ac:dyDescent="0.25">
      <c r="A7" s="13">
        <v>45413</v>
      </c>
      <c r="B7" s="2">
        <v>4511</v>
      </c>
      <c r="C7" s="2">
        <v>8636.2999999999975</v>
      </c>
      <c r="D7" s="2">
        <v>4728.2399999999961</v>
      </c>
      <c r="E7" s="2">
        <v>703339</v>
      </c>
      <c r="F7" s="2">
        <v>740.84345900000028</v>
      </c>
      <c r="G7" s="2">
        <v>852.13512600000001</v>
      </c>
      <c r="H7" s="4">
        <f t="shared" si="0"/>
        <v>86.939669120035816</v>
      </c>
      <c r="I7" s="4">
        <v>3208.6143699999989</v>
      </c>
      <c r="J7" s="4">
        <v>201.47142000000005</v>
      </c>
      <c r="K7" s="4">
        <v>3410.0857899999987</v>
      </c>
      <c r="L7" s="4">
        <v>74.084345899999988</v>
      </c>
      <c r="M7" s="4">
        <v>4.0488414798599992</v>
      </c>
      <c r="N7" s="4">
        <v>0.23701687427999998</v>
      </c>
      <c r="O7" s="4">
        <v>78.370204254139992</v>
      </c>
      <c r="P7" s="4">
        <v>94.564800000000005</v>
      </c>
      <c r="Q7" s="4">
        <f t="shared" si="1"/>
        <v>82.874604772748413</v>
      </c>
    </row>
    <row r="8" spans="1:17" x14ac:dyDescent="0.25">
      <c r="A8" s="12">
        <v>45444</v>
      </c>
      <c r="B8" s="1">
        <v>4048</v>
      </c>
      <c r="C8" s="1">
        <v>7725.7999999999984</v>
      </c>
      <c r="D8" s="1">
        <v>4223.7779999999993</v>
      </c>
      <c r="E8" s="1">
        <v>637860</v>
      </c>
      <c r="F8" s="1">
        <v>674.78699899999992</v>
      </c>
      <c r="G8" s="1">
        <v>761.64469199999962</v>
      </c>
      <c r="H8" s="3">
        <f t="shared" si="0"/>
        <v>88.596035144429294</v>
      </c>
      <c r="I8" s="3">
        <v>2744.8327800000015</v>
      </c>
      <c r="J8" s="3">
        <v>213.31646000000003</v>
      </c>
      <c r="K8" s="3">
        <v>2958.1492400000016</v>
      </c>
      <c r="L8" s="3">
        <v>67.478699900000009</v>
      </c>
      <c r="M8" s="3">
        <v>3.5316037572899992</v>
      </c>
      <c r="N8" s="3">
        <v>0.24451081327999999</v>
      </c>
      <c r="O8" s="3">
        <v>71.254814470569997</v>
      </c>
      <c r="P8" s="3">
        <v>84.475560000000016</v>
      </c>
      <c r="Q8" s="3">
        <f t="shared" si="1"/>
        <v>84.349620731215026</v>
      </c>
    </row>
    <row r="9" spans="1:17" x14ac:dyDescent="0.25">
      <c r="A9" s="13">
        <v>45474</v>
      </c>
      <c r="B9" s="2">
        <v>3916</v>
      </c>
      <c r="C9" s="2">
        <v>7392.4500000000007</v>
      </c>
      <c r="D9" s="2">
        <v>4020.0429999999992</v>
      </c>
      <c r="E9" s="2">
        <v>590023</v>
      </c>
      <c r="F9" s="2">
        <v>621.40643399999965</v>
      </c>
      <c r="G9" s="2">
        <v>724.89359399999978</v>
      </c>
      <c r="H9" s="4">
        <f t="shared" si="0"/>
        <v>85.72381369395849</v>
      </c>
      <c r="I9" s="4">
        <v>2796.5148700000004</v>
      </c>
      <c r="J9" s="4">
        <v>232.62992</v>
      </c>
      <c r="K9" s="4">
        <v>3029.1447900000003</v>
      </c>
      <c r="L9" s="4">
        <v>62.140643399999973</v>
      </c>
      <c r="M9" s="4">
        <v>3.6371589304799996</v>
      </c>
      <c r="N9" s="4">
        <v>0.18955046209999993</v>
      </c>
      <c r="O9" s="4">
        <v>65.967352792579973</v>
      </c>
      <c r="P9" s="4">
        <v>80.400859999999966</v>
      </c>
      <c r="Q9" s="4">
        <f t="shared" si="1"/>
        <v>82.048068630833058</v>
      </c>
    </row>
    <row r="10" spans="1:17" s="6" customFormat="1" x14ac:dyDescent="0.25">
      <c r="A10" s="12">
        <v>45505</v>
      </c>
      <c r="B10" s="1">
        <v>3857</v>
      </c>
      <c r="C10" s="1">
        <v>7316.5</v>
      </c>
      <c r="D10" s="1">
        <v>3986.7869999999975</v>
      </c>
      <c r="E10" s="1">
        <v>577347</v>
      </c>
      <c r="F10" s="1">
        <v>607.07609800000023</v>
      </c>
      <c r="G10" s="1">
        <v>718.95780000000036</v>
      </c>
      <c r="H10" s="3">
        <f t="shared" si="0"/>
        <v>84.438349232736599</v>
      </c>
      <c r="I10" s="3">
        <v>2538.5067800000002</v>
      </c>
      <c r="J10" s="3">
        <v>160.52768999999998</v>
      </c>
      <c r="K10" s="3">
        <v>2699.0344700000001</v>
      </c>
      <c r="L10" s="3">
        <v>60.707609799999894</v>
      </c>
      <c r="M10" s="3">
        <v>3.3442116703800009</v>
      </c>
      <c r="N10" s="3">
        <v>0.13937376539999996</v>
      </c>
      <c r="O10" s="3">
        <v>64.191195235779901</v>
      </c>
      <c r="P10" s="3">
        <v>79.735739999999979</v>
      </c>
      <c r="Q10" s="3">
        <f t="shared" si="1"/>
        <v>80.504921928083846</v>
      </c>
    </row>
    <row r="11" spans="1:17" s="6" customFormat="1" x14ac:dyDescent="0.25">
      <c r="A11" s="13">
        <v>45536</v>
      </c>
      <c r="B11" s="2">
        <v>3684</v>
      </c>
      <c r="C11" s="2">
        <v>7027.6166666666677</v>
      </c>
      <c r="D11" s="2">
        <v>3846.9239999999982</v>
      </c>
      <c r="E11" s="2">
        <v>535294</v>
      </c>
      <c r="F11" s="2">
        <v>566.01382199999978</v>
      </c>
      <c r="G11" s="2">
        <v>693.67826399999979</v>
      </c>
      <c r="H11" s="4">
        <f t="shared" si="0"/>
        <v>81.596015238557328</v>
      </c>
      <c r="I11" s="4">
        <v>1461.3651999999997</v>
      </c>
      <c r="J11" s="4"/>
      <c r="K11" s="4">
        <v>1461.3651999999997</v>
      </c>
      <c r="L11" s="4">
        <v>56.601382199999975</v>
      </c>
      <c r="M11" s="4">
        <v>1.8130537711999997</v>
      </c>
      <c r="N11" s="4">
        <v>0</v>
      </c>
      <c r="O11" s="4">
        <v>58.414435971199978</v>
      </c>
      <c r="P11" s="4">
        <v>76.938479999999984</v>
      </c>
      <c r="Q11" s="4">
        <f t="shared" si="1"/>
        <v>75.923563828139038</v>
      </c>
    </row>
    <row r="12" spans="1:17" s="6" customFormat="1" x14ac:dyDescent="0.25">
      <c r="A12" s="12">
        <v>45566</v>
      </c>
      <c r="B12" s="1"/>
      <c r="C12" s="1"/>
      <c r="D12" s="1"/>
      <c r="E12" s="1"/>
      <c r="F12" s="1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s="6" customFormat="1" x14ac:dyDescent="0.25">
      <c r="A13" s="13">
        <v>45597</v>
      </c>
      <c r="B13" s="2"/>
      <c r="C13" s="2"/>
      <c r="D13" s="2"/>
      <c r="E13" s="2"/>
      <c r="F13" s="2"/>
      <c r="G13" s="2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s="6" customFormat="1" x14ac:dyDescent="0.25">
      <c r="A14" s="12">
        <v>45627</v>
      </c>
      <c r="B14" s="1"/>
      <c r="C14" s="1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s="6" customFormat="1" x14ac:dyDescent="0.25">
      <c r="A15" s="13">
        <v>45658</v>
      </c>
      <c r="B15" s="2"/>
      <c r="C15" s="2"/>
      <c r="D15" s="2"/>
      <c r="E15" s="2"/>
      <c r="F15" s="2"/>
      <c r="G15" s="2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s="6" customFormat="1" x14ac:dyDescent="0.25">
      <c r="A16" s="12">
        <v>45689</v>
      </c>
      <c r="B16" s="1"/>
      <c r="C16" s="1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s="6" customFormat="1" x14ac:dyDescent="0.25">
      <c r="A17" s="13">
        <v>45717</v>
      </c>
      <c r="B17" s="2"/>
      <c r="C17" s="2"/>
      <c r="D17" s="2"/>
      <c r="E17" s="2"/>
      <c r="F17" s="2"/>
      <c r="G17" s="2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s="6" customFormat="1" x14ac:dyDescent="0.25">
      <c r="A18" s="7" t="s">
        <v>22</v>
      </c>
      <c r="B18" s="8">
        <f>SUM(B6:B17)</f>
        <v>24703</v>
      </c>
      <c r="C18" s="8">
        <f t="shared" ref="C18:G18" si="2">SUM(C6:C17)</f>
        <v>47015.766666666663</v>
      </c>
      <c r="D18" s="8">
        <f t="shared" si="2"/>
        <v>25652.010999999991</v>
      </c>
      <c r="E18" s="8">
        <f t="shared" si="2"/>
        <v>3760720</v>
      </c>
      <c r="F18" s="8">
        <f t="shared" si="2"/>
        <v>3959.8990619999995</v>
      </c>
      <c r="G18" s="8">
        <f t="shared" si="2"/>
        <v>4624.8928560000004</v>
      </c>
      <c r="H18" s="10">
        <f t="shared" si="0"/>
        <v>85.621422707397727</v>
      </c>
      <c r="I18" s="9">
        <f>SUM(I6:I17)</f>
        <v>15558.880930000001</v>
      </c>
      <c r="J18" s="9">
        <f t="shared" ref="J18:P18" si="3">SUM(J6:J17)</f>
        <v>1034.0686700000001</v>
      </c>
      <c r="K18" s="9">
        <f t="shared" si="3"/>
        <v>16592.9496</v>
      </c>
      <c r="L18" s="9">
        <f t="shared" si="3"/>
        <v>377.24559994999987</v>
      </c>
      <c r="M18" s="9">
        <f t="shared" si="3"/>
        <v>19.841376858530001</v>
      </c>
      <c r="N18" s="9">
        <f t="shared" si="3"/>
        <v>1.0045964027099998</v>
      </c>
      <c r="O18" s="9">
        <f t="shared" si="3"/>
        <v>398.09157321123985</v>
      </c>
      <c r="P18" s="9">
        <f t="shared" si="3"/>
        <v>513.04021999999998</v>
      </c>
      <c r="Q18" s="11">
        <f t="shared" si="1"/>
        <v>77.594612993741478</v>
      </c>
    </row>
    <row r="19" spans="1:17" s="6" customFormat="1" x14ac:dyDescent="0.25">
      <c r="A19" s="16" t="s">
        <v>20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3" fitToHeight="0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 CONNECT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2024-09-24T09:53:35Z</cp:lastPrinted>
  <dcterms:created xsi:type="dcterms:W3CDTF">2018-10-29T04:00:07Z</dcterms:created>
  <dcterms:modified xsi:type="dcterms:W3CDTF">2025-11-14T10:02:01Z</dcterms:modified>
</cp:coreProperties>
</file>