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FLYBIG\"/>
    </mc:Choice>
  </mc:AlternateContent>
  <bookViews>
    <workbookView xWindow="0" yWindow="0" windowWidth="24000" windowHeight="10725"/>
  </bookViews>
  <sheets>
    <sheet name="FLYBIG" sheetId="3" r:id="rId1"/>
  </sheets>
  <definedNames>
    <definedName name="_xlnm.Print_Area" localSheetId="0">FLYBIG!$A$1:$Q$21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8" i="3"/>
  <c r="B17" i="3"/>
</calcChain>
</file>

<file path=xl/sharedStrings.xml><?xml version="1.0" encoding="utf-8"?>
<sst xmlns="http://schemas.openxmlformats.org/spreadsheetml/2006/main" count="216" uniqueCount="39">
  <si>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</si>
  <si>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</si>
  <si>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</si>
  <si>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</si>
  <si>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</si>
  <si>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</si>
  <si>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</si>
  <si>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</si>
  <si>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</si>
  <si>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</si>
  <si>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</si>
  <si>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</si>
  <si>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</si>
  <si>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</si>
  <si>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</si>
  <si>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</si>
  <si>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</si>
  <si>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</si>
  <si>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</si>
  <si>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</si>
  <si>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</si>
  <si>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</si>
  <si>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</si>
  <si>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-</t>
  </si>
  <si>
    <t>2018-19</t>
  </si>
  <si>
    <t>2019-20</t>
  </si>
  <si>
    <t xml:space="preserve">तालिका - 1.05 (फ्लाई बिग) </t>
  </si>
  <si>
    <t>TABLE - 1.05 (FLY BIG)</t>
  </si>
  <si>
    <t>YEAR ON YEAR GROWTH AND CAGR FOR LAST TEN YEARS OF FLY BIG ON SCHEDULED INTERNATIONAL SERVICES (ALL AIR TRAFFIC AND OPERATING STATISTICS)</t>
  </si>
  <si>
    <t>SOURCE: ICAO ATR FORM 'A' FURNISHED BY FLY BIG</t>
  </si>
  <si>
    <t>2022-23</t>
  </si>
  <si>
    <t>2023-24</t>
  </si>
  <si>
    <t>YOY growth</t>
  </si>
  <si>
    <t>CAGR last 10 years</t>
  </si>
  <si>
    <t>2020-21*</t>
  </si>
  <si>
    <t>2021-22*</t>
  </si>
  <si>
    <t>* DENOTES that THE INTERNATIONAL OPERATIONS BY SCHEDULED INDIAN OPERATORS WERE CARRIED AS PER DGCA’S CIRCULAR DATED 26.03.2020 UNDER COVID-19 RESTRICTION.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</si>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</sst>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1010409]mmmm/yy;@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4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5" fontId="3" fillId="5" borderId="1" xfId="3" applyNumberFormat="1" applyBorder="1" applyAlignment="1" applyProtection="1">
      <alignment horizontal="center" vertical="center" wrapText="1"/>
    </xf>
    <xf numFmtId="166" fontId="3" fillId="5" borderId="1" xfId="3" applyNumberFormat="1" applyBorder="1" applyAlignment="1">
      <alignment horizontal="center" vertical="center"/>
    </xf>
    <xf numFmtId="166" fontId="6" fillId="0" borderId="1" xfId="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3" fillId="6" borderId="1" xfId="3" applyNumberFormat="1" applyFill="1" applyBorder="1" applyAlignment="1" applyProtection="1">
      <alignment horizontal="center" vertical="center" wrapText="1"/>
    </xf>
    <xf numFmtId="165" fontId="0" fillId="6" borderId="1" xfId="3" applyNumberFormat="1" applyFont="1" applyFill="1" applyBorder="1" applyAlignment="1" applyProtection="1">
      <alignment horizontal="center" vertical="center" wrapText="1"/>
    </xf>
    <xf numFmtId="165" fontId="0" fillId="5" borderId="1" xfId="3" applyNumberFormat="1" applyFont="1" applyBorder="1" applyAlignment="1" applyProtection="1">
      <alignment horizontal="center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C1" zoomScale="85" zoomScaleNormal="100" zoomScaleSheetLayoutView="85" workbookViewId="0">
      <selection activeCell="Q27" sqref="Q27"/>
    </sheetView>
  </sheetViews>
  <sheetFormatPr defaultRowHeight="15" x14ac:dyDescent="0.25"/>
  <cols>
    <col min="1" max="1" width="13.42578125" customWidth="1"/>
    <col min="2" max="2" width="7.7109375" customWidth="1"/>
    <col min="3" max="3" width="12" customWidth="1"/>
    <col min="4" max="4" width="7.85546875" customWidth="1"/>
    <col min="5" max="5" width="9.7109375" customWidth="1"/>
    <col min="6" max="6" width="7.140625" customWidth="1"/>
    <col min="7" max="7" width="13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13.85546875" customWidth="1"/>
    <col min="17" max="17" width="15.42578125" customWidth="1"/>
  </cols>
  <sheetData>
    <row r="1" spans="1:17" x14ac:dyDescent="0.25">
      <c r="A1" s="12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3" t="s">
        <v>27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8.5" customHeight="1" x14ac:dyDescent="0.25">
      <c r="A3" s="15" t="s">
        <v>28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17" t="s">
        <v>3</v>
      </c>
      <c r="H4" s="17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17" t="s">
        <v>7</v>
      </c>
      <c r="Q4" s="17" t="s">
        <v>8</v>
      </c>
    </row>
    <row r="5" spans="1:17" ht="88.5" x14ac:dyDescent="0.25">
      <c r="A5" s="15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8"/>
      <c r="H5" s="18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8"/>
      <c r="Q5" s="18"/>
    </row>
    <row r="6" spans="1:17" x14ac:dyDescent="0.25">
      <c r="A6" s="5" t="s">
        <v>19</v>
      </c>
      <c r="B6" s="6" t="s">
        <v>23</v>
      </c>
      <c r="C6" s="6" t="s">
        <v>23</v>
      </c>
      <c r="D6" s="6" t="s">
        <v>23</v>
      </c>
      <c r="E6" s="6" t="s">
        <v>23</v>
      </c>
      <c r="F6" s="6" t="s">
        <v>23</v>
      </c>
      <c r="G6" s="6" t="s">
        <v>23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23</v>
      </c>
      <c r="P6" s="6" t="s">
        <v>23</v>
      </c>
      <c r="Q6" s="6" t="s">
        <v>23</v>
      </c>
    </row>
    <row r="7" spans="1:17" x14ac:dyDescent="0.25">
      <c r="A7" s="9" t="s">
        <v>20</v>
      </c>
      <c r="B7" s="7" t="s">
        <v>23</v>
      </c>
      <c r="C7" s="7" t="s">
        <v>23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7" t="s">
        <v>23</v>
      </c>
    </row>
    <row r="8" spans="1:17" x14ac:dyDescent="0.25">
      <c r="A8" s="5" t="s">
        <v>21</v>
      </c>
      <c r="B8" s="6" t="s">
        <v>23</v>
      </c>
      <c r="C8" s="6" t="s">
        <v>23</v>
      </c>
      <c r="D8" s="6" t="s">
        <v>23</v>
      </c>
      <c r="E8" s="6" t="s">
        <v>23</v>
      </c>
      <c r="F8" s="6" t="s">
        <v>23</v>
      </c>
      <c r="G8" s="6" t="s">
        <v>23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23</v>
      </c>
    </row>
    <row r="9" spans="1:17" x14ac:dyDescent="0.25">
      <c r="A9" s="9" t="s">
        <v>22</v>
      </c>
      <c r="B9" s="7" t="s">
        <v>23</v>
      </c>
      <c r="C9" s="7" t="s">
        <v>23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7" t="s">
        <v>23</v>
      </c>
    </row>
    <row r="10" spans="1:17" x14ac:dyDescent="0.25">
      <c r="A10" s="5" t="s">
        <v>24</v>
      </c>
      <c r="B10" s="6" t="s">
        <v>23</v>
      </c>
      <c r="C10" s="6" t="s">
        <v>23</v>
      </c>
      <c r="D10" s="6" t="s">
        <v>23</v>
      </c>
      <c r="E10" s="6" t="s">
        <v>23</v>
      </c>
      <c r="F10" s="6" t="s">
        <v>23</v>
      </c>
      <c r="G10" s="6" t="s">
        <v>23</v>
      </c>
      <c r="H10" s="6" t="s">
        <v>23</v>
      </c>
      <c r="I10" s="6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6" t="s">
        <v>23</v>
      </c>
      <c r="Q10" s="6" t="s">
        <v>23</v>
      </c>
    </row>
    <row r="11" spans="1:17" x14ac:dyDescent="0.25">
      <c r="A11" s="9" t="s">
        <v>25</v>
      </c>
      <c r="B11" s="7" t="s">
        <v>23</v>
      </c>
      <c r="C11" s="7" t="s">
        <v>23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7" t="s">
        <v>23</v>
      </c>
    </row>
    <row r="12" spans="1:17" x14ac:dyDescent="0.25">
      <c r="A12" s="5" t="s">
        <v>34</v>
      </c>
      <c r="B12" s="6" t="s">
        <v>23</v>
      </c>
      <c r="C12" s="6" t="s">
        <v>23</v>
      </c>
      <c r="D12" s="6" t="s">
        <v>23</v>
      </c>
      <c r="E12" s="6" t="s">
        <v>23</v>
      </c>
      <c r="F12" s="6" t="s">
        <v>23</v>
      </c>
      <c r="G12" s="6" t="s">
        <v>23</v>
      </c>
      <c r="H12" s="6" t="s">
        <v>23</v>
      </c>
      <c r="I12" s="6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6" t="s">
        <v>23</v>
      </c>
      <c r="Q12" s="6" t="s">
        <v>23</v>
      </c>
    </row>
    <row r="13" spans="1:17" x14ac:dyDescent="0.25">
      <c r="A13" s="10" t="s">
        <v>35</v>
      </c>
      <c r="B13" s="7" t="s">
        <v>23</v>
      </c>
      <c r="C13" s="7" t="s">
        <v>23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7" t="s">
        <v>23</v>
      </c>
    </row>
    <row r="14" spans="1:17" x14ac:dyDescent="0.25">
      <c r="A14" s="11" t="s">
        <v>30</v>
      </c>
      <c r="B14" s="6" t="s">
        <v>23</v>
      </c>
      <c r="C14" s="6" t="s">
        <v>23</v>
      </c>
      <c r="D14" s="6" t="s">
        <v>23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23</v>
      </c>
      <c r="M14" s="6" t="s">
        <v>23</v>
      </c>
      <c r="N14" s="6" t="s">
        <v>23</v>
      </c>
      <c r="O14" s="6" t="s">
        <v>23</v>
      </c>
      <c r="P14" s="6" t="s">
        <v>23</v>
      </c>
      <c r="Q14" s="6" t="s">
        <v>23</v>
      </c>
    </row>
    <row r="15" spans="1:17" x14ac:dyDescent="0.25">
      <c r="A15" s="9" t="s">
        <v>31</v>
      </c>
      <c r="B15" s="7" t="s">
        <v>23</v>
      </c>
      <c r="C15" s="7" t="s">
        <v>23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7" t="s">
        <v>23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7" t="s">
        <v>23</v>
      </c>
    </row>
    <row r="16" spans="1:17" x14ac:dyDescent="0.25">
      <c r="A16" s="11" t="s">
        <v>37</v>
      </c>
      <c r="B16" s="6" t="s">
        <v>23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6" t="s">
        <v>23</v>
      </c>
    </row>
    <row r="17" spans="1:17" x14ac:dyDescent="0.25">
      <c r="A17" s="1" t="s">
        <v>32</v>
      </c>
      <c r="B17" s="2" t="str">
        <f>IFERROR(((B16-B15)/B15),"-")</f>
        <v>-</v>
      </c>
      <c r="C17" s="2" t="str">
        <f t="shared" ref="C17:Q17" si="0">IFERROR(((C16-C15)/C15),"-")</f>
        <v>-</v>
      </c>
      <c r="D17" s="2" t="str">
        <f t="shared" si="0"/>
        <v>-</v>
      </c>
      <c r="E17" s="2" t="str">
        <f t="shared" si="0"/>
        <v>-</v>
      </c>
      <c r="F17" s="2" t="str">
        <f t="shared" si="0"/>
        <v>-</v>
      </c>
      <c r="G17" s="2" t="str">
        <f t="shared" si="0"/>
        <v>-</v>
      </c>
      <c r="H17" s="2" t="str">
        <f t="shared" si="0"/>
        <v>-</v>
      </c>
      <c r="I17" s="2" t="str">
        <f t="shared" si="0"/>
        <v>-</v>
      </c>
      <c r="J17" s="2" t="str">
        <f t="shared" si="0"/>
        <v>-</v>
      </c>
      <c r="K17" s="2" t="str">
        <f t="shared" si="0"/>
        <v>-</v>
      </c>
      <c r="L17" s="2" t="str">
        <f t="shared" si="0"/>
        <v>-</v>
      </c>
      <c r="M17" s="2" t="str">
        <f t="shared" si="0"/>
        <v>-</v>
      </c>
      <c r="N17" s="2" t="str">
        <f t="shared" si="0"/>
        <v>-</v>
      </c>
      <c r="O17" s="2" t="str">
        <f t="shared" si="0"/>
        <v>-</v>
      </c>
      <c r="P17" s="2" t="str">
        <f t="shared" si="0"/>
        <v>-</v>
      </c>
      <c r="Q17" s="2" t="str">
        <f t="shared" si="0"/>
        <v>-</v>
      </c>
    </row>
    <row r="18" spans="1:17" ht="30" x14ac:dyDescent="0.25">
      <c r="A18" s="8" t="s">
        <v>33</v>
      </c>
      <c r="B18" s="3" t="str">
        <f>IFERROR((((B16/B6)^(1/10))-1),"-")</f>
        <v>-</v>
      </c>
      <c r="C18" s="3" t="str">
        <f t="shared" ref="C18:Q18" si="1">IFERROR((((C16/C6)^(1/10))-1),"-")</f>
        <v>-</v>
      </c>
      <c r="D18" s="3" t="str">
        <f t="shared" si="1"/>
        <v>-</v>
      </c>
      <c r="E18" s="3" t="str">
        <f t="shared" si="1"/>
        <v>-</v>
      </c>
      <c r="F18" s="3" t="str">
        <f t="shared" si="1"/>
        <v>-</v>
      </c>
      <c r="G18" s="3" t="str">
        <f t="shared" si="1"/>
        <v>-</v>
      </c>
      <c r="H18" s="3" t="str">
        <f t="shared" si="1"/>
        <v>-</v>
      </c>
      <c r="I18" s="3" t="str">
        <f t="shared" si="1"/>
        <v>-</v>
      </c>
      <c r="J18" s="3" t="str">
        <f t="shared" si="1"/>
        <v>-</v>
      </c>
      <c r="K18" s="3" t="str">
        <f t="shared" si="1"/>
        <v>-</v>
      </c>
      <c r="L18" s="3" t="str">
        <f t="shared" si="1"/>
        <v>-</v>
      </c>
      <c r="M18" s="3" t="str">
        <f t="shared" si="1"/>
        <v>-</v>
      </c>
      <c r="N18" s="3" t="str">
        <f t="shared" si="1"/>
        <v>-</v>
      </c>
      <c r="O18" s="3" t="str">
        <f t="shared" si="1"/>
        <v>-</v>
      </c>
      <c r="P18" s="3" t="str">
        <f t="shared" si="1"/>
        <v>-</v>
      </c>
      <c r="Q18" s="3" t="str">
        <f t="shared" si="1"/>
        <v>-</v>
      </c>
    </row>
    <row r="19" spans="1:17" x14ac:dyDescent="0.25">
      <c r="A19" s="22" t="s">
        <v>29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8.75" customHeight="1" x14ac:dyDescent="0.25">
      <c r="A20" s="20" t="s">
        <v>38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19" t="s">
        <v>36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2020-05-20T06:31:48Z</cp:lastPrinted>
  <dcterms:created xsi:type="dcterms:W3CDTF">2018-10-29T04:00:15Z</dcterms:created>
  <dcterms:modified xsi:type="dcterms:W3CDTF">2025-11-19T12:09:05Z</dcterms:modified>
</cp:coreProperties>
</file>