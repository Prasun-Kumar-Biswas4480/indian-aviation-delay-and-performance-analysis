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1" r:id="rId1"/>
  </sheets>
  <definedNames>
    <definedName name="_xlnm.Print_Area" localSheetId="0">'AIR INDIA'!$A$1:$Q$21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B17" i="1"/>
  <c r="H14" i="1" l="1"/>
  <c r="Q14" i="1" l="1"/>
  <c r="Q16" i="1" l="1"/>
  <c r="Q15" i="1"/>
  <c r="Q13" i="1"/>
  <c r="Q12" i="1"/>
  <c r="Q11" i="1"/>
  <c r="Q10" i="1"/>
  <c r="Q9" i="1"/>
  <c r="Q8" i="1"/>
  <c r="Q7" i="1"/>
  <c r="Q6" i="1"/>
  <c r="H16" i="1"/>
  <c r="H15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<sst xmlns="http://schemas.openxmlformats.org/spreadsheetml/2006/main" count="40" uniqueCount="38">
  <si>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</si>
  <si>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</si>
  <si>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</si>
  <si>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</si>
  <si>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</si>
  <si>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</si>
  <si>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</si>
  <si>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</si>
  <si>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</si>
  <si>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</si>
  <si>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</si>
  <si>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</si>
  <si>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</si>
  <si>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</si>
  <si>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</si>
  <si>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</si>
  <si>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</si>
  <si>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</si>
  <si>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</si>
  <si>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</si>
  <si>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</si>
  <si>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</si>
  <si>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</si>
  <si>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</si>
  <si>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SOURCE: ICAO ATR FORM 'A' FURNISHED BY AIR INDIA</t>
  </si>
  <si>
    <t>2019-20</t>
  </si>
  <si>
    <t>YEAR ON YEAR GROWTH AND CAGR FOR LAST TEN YEARS OF AIR INDIA ON TOTAL (DOMESTIC + INTERNATIONAL) SCHEDULED SERVICES (ALL AIR TRAFFIC AND OPERATING STATISTICS)</t>
  </si>
  <si>
    <t>* DENOTES that THE INTERNATIONAL OPERATIONS BY SCHEDULED INDIAN OPERATORS WERE CARRIED AS PER DGCA’S CIRCULAR DATED 26.03.2020 UNDER COVID-19 RESTRICTION.</t>
  </si>
  <si>
    <t>2022-23</t>
  </si>
  <si>
    <t>TABLE - 1.06 AIR INDIA</t>
  </si>
  <si>
    <t>2023-24</t>
  </si>
  <si>
    <t>YOY growth</t>
  </si>
  <si>
    <t>CAGR last 10 years</t>
  </si>
  <si>
    <t>2020-21*</t>
  </si>
  <si>
    <t>2021-22*</t>
  </si>
  <si>
    <t>2024-25</t>
  </si>
  <si>
    <t>Note: Growth has been calculated with respect to preceeding year while Compound Annual Growth Rate (CAGR) has been calculating taking 2014-15 as a Base Year</t>
  </si>
  <si>
    <t xml:space="preserve"> तालिका- 1.06 एयर इंडिया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</si>
</sst>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Border="1" applyAlignment="1" applyProtection="1">
      <alignment horizontal="right" vertical="center" wrapText="1"/>
    </xf>
    <xf numFmtId="0" fontId="4" fillId="6" borderId="1" xfId="3" applyFill="1" applyBorder="1" applyAlignment="1" applyProtection="1">
      <alignment horizontal="center" vertical="center" wrapText="1"/>
    </xf>
    <xf numFmtId="3" fontId="0" fillId="7" borderId="1" xfId="5" applyNumberFormat="1" applyFont="1" applyFill="1" applyBorder="1" applyAlignment="1" applyProtection="1">
      <alignment horizontal="center" vertical="center" wrapText="1"/>
    </xf>
    <xf numFmtId="0" fontId="0" fillId="6" borderId="1" xfId="3" applyFont="1" applyFill="1" applyBorder="1" applyAlignment="1" applyProtection="1">
      <alignment horizontal="center" vertical="center" wrapText="1"/>
    </xf>
    <xf numFmtId="166" fontId="4" fillId="6" borderId="1" xfId="6" applyNumberFormat="1" applyFill="1" applyBorder="1" applyAlignment="1" applyProtection="1">
      <alignment horizontal="center" vertical="center" wrapText="1"/>
    </xf>
    <xf numFmtId="166" fontId="0" fillId="7" borderId="1" xfId="6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167" fontId="4" fillId="6" borderId="1" xfId="6" applyNumberFormat="1" applyFill="1" applyBorder="1" applyAlignment="1" applyProtection="1">
      <alignment horizontal="center" vertical="center" wrapText="1"/>
    </xf>
    <xf numFmtId="167" fontId="0" fillId="7" borderId="1" xfId="6" applyNumberFormat="1" applyFont="1" applyFill="1" applyBorder="1" applyAlignment="1" applyProtection="1">
      <alignment horizontal="center" vertical="center" wrapText="1"/>
    </xf>
  </cellXfs>
  <cellStyles count="7">
    <cellStyle name="20% - Accent1" xfId="3" builtinId="30"/>
    <cellStyle name="20% - Accent6" xfId="5" builtinId="50"/>
    <cellStyle name="40% - Accent1" xfId="4" builtinId="31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A4" zoomScale="85" zoomScaleNormal="100" zoomScaleSheetLayoutView="85" workbookViewId="0">
      <selection activeCell="D10" sqref="D10"/>
    </sheetView>
  </sheetViews>
  <sheetFormatPr defaultColWidth="9.140625" defaultRowHeight="15" x14ac:dyDescent="0.25"/>
  <cols>
    <col min="1" max="1" width="12.28515625" style="1" customWidth="1"/>
    <col min="2" max="2" width="11.28515625" style="1" bestFit="1" customWidth="1"/>
    <col min="3" max="3" width="9.7109375" style="1" customWidth="1"/>
    <col min="4" max="4" width="12.7109375" style="1" bestFit="1" customWidth="1"/>
    <col min="5" max="6" width="12.28515625" style="1" customWidth="1"/>
    <col min="7" max="7" width="12.5703125" style="1" customWidth="1"/>
    <col min="8" max="8" width="6.85546875" style="1" customWidth="1"/>
    <col min="9" max="9" width="11.7109375" style="1" customWidth="1"/>
    <col min="10" max="10" width="12.28515625" style="1" customWidth="1"/>
    <col min="11" max="11" width="10.85546875" style="1" customWidth="1"/>
    <col min="12" max="12" width="10" style="1" customWidth="1"/>
    <col min="13" max="13" width="9.5703125" style="1" customWidth="1"/>
    <col min="14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21" customHeight="1" x14ac:dyDescent="0.25">
      <c r="A2" s="20" t="s">
        <v>29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1" customHeight="1" x14ac:dyDescent="0.25">
      <c r="A3" s="22" t="s">
        <v>26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5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3" t="s">
        <v>3</v>
      </c>
      <c r="H4" s="13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3" t="s">
        <v>7</v>
      </c>
      <c r="Q4" s="13" t="s">
        <v>8</v>
      </c>
    </row>
    <row r="5" spans="1:17" ht="132" customHeight="1" x14ac:dyDescent="0.25">
      <c r="A5" s="2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4"/>
      <c r="H5" s="14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4"/>
      <c r="Q5" s="14"/>
    </row>
    <row r="6" spans="1:17" ht="24.95" customHeight="1" x14ac:dyDescent="0.25">
      <c r="A6" s="7" t="s">
        <v>19</v>
      </c>
      <c r="B6" s="10">
        <v>138803</v>
      </c>
      <c r="C6" s="10">
        <v>358927</v>
      </c>
      <c r="D6" s="10">
        <v>258808</v>
      </c>
      <c r="E6" s="10">
        <v>17263599</v>
      </c>
      <c r="F6" s="10">
        <v>35917.201000000001</v>
      </c>
      <c r="G6" s="10">
        <v>48484.936000000002</v>
      </c>
      <c r="H6" s="24">
        <f>F6/G6*100</f>
        <v>74.079093349736496</v>
      </c>
      <c r="I6" s="10">
        <v>205963</v>
      </c>
      <c r="J6" s="10">
        <v>19412</v>
      </c>
      <c r="K6" s="10">
        <v>225375</v>
      </c>
      <c r="L6" s="10">
        <v>3500.7370000000001</v>
      </c>
      <c r="M6" s="10">
        <v>657.60599999999999</v>
      </c>
      <c r="N6" s="10">
        <v>37.636000000000003</v>
      </c>
      <c r="O6" s="10">
        <v>4195.9790000000003</v>
      </c>
      <c r="P6" s="10">
        <v>6556.5739999999996</v>
      </c>
      <c r="Q6" s="24">
        <f t="shared" ref="Q6:Q16" si="0">O6/P6*100</f>
        <v>63.996517083464632</v>
      </c>
    </row>
    <row r="7" spans="1:17" ht="24.95" customHeight="1" x14ac:dyDescent="0.25">
      <c r="A7" s="8" t="s">
        <v>20</v>
      </c>
      <c r="B7" s="11">
        <v>140016</v>
      </c>
      <c r="C7" s="11">
        <v>378135</v>
      </c>
      <c r="D7" s="11">
        <v>340622</v>
      </c>
      <c r="E7" s="11">
        <v>18475830</v>
      </c>
      <c r="F7" s="11">
        <v>38548.79</v>
      </c>
      <c r="G7" s="11">
        <v>51049.54</v>
      </c>
      <c r="H7" s="25">
        <f t="shared" ref="H7:H16" si="1">F7/G7*100</f>
        <v>75.512511963868818</v>
      </c>
      <c r="I7" s="11">
        <v>187614</v>
      </c>
      <c r="J7" s="11">
        <v>19044</v>
      </c>
      <c r="K7" s="11">
        <v>206658</v>
      </c>
      <c r="L7" s="11">
        <v>3761.9140000000002</v>
      </c>
      <c r="M7" s="11">
        <v>565.50300000000004</v>
      </c>
      <c r="N7" s="11">
        <v>36.277000000000001</v>
      </c>
      <c r="O7" s="11">
        <v>4363.6940000000004</v>
      </c>
      <c r="P7" s="11">
        <v>6854.2730000000001</v>
      </c>
      <c r="Q7" s="25">
        <f t="shared" si="0"/>
        <v>63.663848813725401</v>
      </c>
    </row>
    <row r="8" spans="1:17" ht="24.95" customHeight="1" x14ac:dyDescent="0.25">
      <c r="A8" s="7" t="s">
        <v>21</v>
      </c>
      <c r="B8" s="10">
        <v>145187</v>
      </c>
      <c r="C8" s="10">
        <v>401041</v>
      </c>
      <c r="D8" s="10">
        <v>343676</v>
      </c>
      <c r="E8" s="10">
        <v>19599155</v>
      </c>
      <c r="F8" s="10">
        <v>41362.555999999997</v>
      </c>
      <c r="G8" s="10">
        <v>54139.879000000001</v>
      </c>
      <c r="H8" s="24">
        <f t="shared" si="1"/>
        <v>76.399424535101005</v>
      </c>
      <c r="I8" s="10">
        <v>177532</v>
      </c>
      <c r="J8" s="10">
        <v>13163</v>
      </c>
      <c r="K8" s="10">
        <v>190695</v>
      </c>
      <c r="L8" s="10">
        <v>4065.817</v>
      </c>
      <c r="M8" s="10">
        <v>642.88400000000001</v>
      </c>
      <c r="N8" s="10">
        <v>30.27</v>
      </c>
      <c r="O8" s="10">
        <v>4738.9709999999995</v>
      </c>
      <c r="P8" s="10">
        <v>7269.8710000000001</v>
      </c>
      <c r="Q8" s="24">
        <f t="shared" si="0"/>
        <v>65.186452414355074</v>
      </c>
    </row>
    <row r="9" spans="1:17" ht="24.95" customHeight="1" x14ac:dyDescent="0.25">
      <c r="A9" s="8" t="s">
        <v>22</v>
      </c>
      <c r="B9" s="11">
        <v>153499</v>
      </c>
      <c r="C9" s="11">
        <v>432212.8</v>
      </c>
      <c r="D9" s="11">
        <v>366037.1</v>
      </c>
      <c r="E9" s="11">
        <v>21172463</v>
      </c>
      <c r="F9" s="11">
        <v>46026.945799999994</v>
      </c>
      <c r="G9" s="11">
        <v>57723.122600000002</v>
      </c>
      <c r="H9" s="25">
        <f t="shared" si="1"/>
        <v>79.737449616074642</v>
      </c>
      <c r="I9" s="11">
        <v>204894.6</v>
      </c>
      <c r="J9" s="11">
        <v>14713.332</v>
      </c>
      <c r="K9" s="11">
        <v>219607.932</v>
      </c>
      <c r="L9" s="11">
        <v>4555.1067999999996</v>
      </c>
      <c r="M9" s="11">
        <v>801.1083000000001</v>
      </c>
      <c r="N9" s="11">
        <v>39.529600000000002</v>
      </c>
      <c r="O9" s="11">
        <v>5395.7447000000002</v>
      </c>
      <c r="P9" s="11">
        <v>7780.4115000000002</v>
      </c>
      <c r="Q9" s="25">
        <f t="shared" si="0"/>
        <v>69.350376904871936</v>
      </c>
    </row>
    <row r="10" spans="1:17" ht="24.95" customHeight="1" x14ac:dyDescent="0.25">
      <c r="A10" s="7" t="s">
        <v>23</v>
      </c>
      <c r="B10" s="10">
        <v>159586</v>
      </c>
      <c r="C10" s="10">
        <v>463868.8826999999</v>
      </c>
      <c r="D10" s="10">
        <v>386701.69099999999</v>
      </c>
      <c r="E10" s="10">
        <v>22282899</v>
      </c>
      <c r="F10" s="10">
        <v>49115.269760999989</v>
      </c>
      <c r="G10" s="10">
        <v>62139.233197999994</v>
      </c>
      <c r="H10" s="24">
        <f t="shared" si="1"/>
        <v>79.040675646092154</v>
      </c>
      <c r="I10" s="10">
        <v>215335.44054999997</v>
      </c>
      <c r="J10" s="10">
        <v>13679.568000000001</v>
      </c>
      <c r="K10" s="10">
        <v>229015.00855000003</v>
      </c>
      <c r="L10" s="10">
        <v>4867.1589009999998</v>
      </c>
      <c r="M10" s="10">
        <v>876.93935662740012</v>
      </c>
      <c r="N10" s="10">
        <v>37.995229000000016</v>
      </c>
      <c r="O10" s="10">
        <v>5782.0934866273992</v>
      </c>
      <c r="P10" s="10">
        <v>8341.2966772559994</v>
      </c>
      <c r="Q10" s="24">
        <f t="shared" si="0"/>
        <v>69.318880629114716</v>
      </c>
    </row>
    <row r="11" spans="1:17" ht="24.95" customHeight="1" x14ac:dyDescent="0.25">
      <c r="A11" s="8" t="s">
        <v>25</v>
      </c>
      <c r="B11" s="11">
        <v>164089</v>
      </c>
      <c r="C11" s="11">
        <v>476473.10000000003</v>
      </c>
      <c r="D11" s="11">
        <v>387621.94699999993</v>
      </c>
      <c r="E11" s="11">
        <v>22481177</v>
      </c>
      <c r="F11" s="11">
        <v>50439.029543999997</v>
      </c>
      <c r="G11" s="11">
        <v>63185.343651000003</v>
      </c>
      <c r="H11" s="25">
        <f t="shared" si="1"/>
        <v>79.827103295657594</v>
      </c>
      <c r="I11" s="11">
        <v>204763.20380000002</v>
      </c>
      <c r="J11" s="11">
        <v>14593.372999999996</v>
      </c>
      <c r="K11" s="11">
        <v>219356.58079999997</v>
      </c>
      <c r="L11" s="11">
        <v>4983.1875745670004</v>
      </c>
      <c r="M11" s="11">
        <v>823.13137553060005</v>
      </c>
      <c r="N11" s="11">
        <v>41.757959000000014</v>
      </c>
      <c r="O11" s="11">
        <v>5848.0769090976</v>
      </c>
      <c r="P11" s="11">
        <v>8414.5190850840045</v>
      </c>
      <c r="Q11" s="25">
        <f t="shared" si="0"/>
        <v>69.49983534370007</v>
      </c>
    </row>
    <row r="12" spans="1:17" ht="24.95" customHeight="1" x14ac:dyDescent="0.25">
      <c r="A12" s="7" t="s">
        <v>33</v>
      </c>
      <c r="B12" s="10">
        <v>56446</v>
      </c>
      <c r="C12" s="10">
        <v>171009.80833333335</v>
      </c>
      <c r="D12" s="10">
        <v>127553.177</v>
      </c>
      <c r="E12" s="10">
        <v>6300719</v>
      </c>
      <c r="F12" s="10">
        <v>16135.743458000001</v>
      </c>
      <c r="G12" s="10">
        <v>24321.910994000002</v>
      </c>
      <c r="H12" s="24">
        <f t="shared" si="1"/>
        <v>66.342416358568798</v>
      </c>
      <c r="I12" s="10">
        <v>74996.073199999999</v>
      </c>
      <c r="J12" s="10">
        <v>47.724000000000004</v>
      </c>
      <c r="K12" s="10">
        <v>75043.797200000001</v>
      </c>
      <c r="L12" s="10">
        <v>1493.4114364759996</v>
      </c>
      <c r="M12" s="10">
        <v>311.67058865059994</v>
      </c>
      <c r="N12" s="10">
        <v>8.7054806068061446</v>
      </c>
      <c r="O12" s="10">
        <v>1813.7875057334063</v>
      </c>
      <c r="P12" s="10">
        <v>3342.9965845280003</v>
      </c>
      <c r="Q12" s="24">
        <f t="shared" si="0"/>
        <v>54.256337386880581</v>
      </c>
    </row>
    <row r="13" spans="1:17" ht="24.95" customHeight="1" x14ac:dyDescent="0.25">
      <c r="A13" s="8" t="s">
        <v>34</v>
      </c>
      <c r="B13" s="11">
        <v>95495</v>
      </c>
      <c r="C13" s="11">
        <v>269211.81666666659</v>
      </c>
      <c r="D13" s="11">
        <v>189759.978</v>
      </c>
      <c r="E13" s="11">
        <v>11127558</v>
      </c>
      <c r="F13" s="11">
        <v>25973.999115999999</v>
      </c>
      <c r="G13" s="11">
        <v>36492.902794000001</v>
      </c>
      <c r="H13" s="25">
        <f t="shared" si="1"/>
        <v>71.175481058937649</v>
      </c>
      <c r="I13" s="11">
        <v>143364.27380000002</v>
      </c>
      <c r="J13" s="11">
        <v>18.36971548369845</v>
      </c>
      <c r="K13" s="11">
        <v>143382.64351548371</v>
      </c>
      <c r="L13" s="11">
        <v>2567.0117374490001</v>
      </c>
      <c r="M13" s="11">
        <v>548.5648366216999</v>
      </c>
      <c r="N13" s="11">
        <v>3.5585705451594211E-3</v>
      </c>
      <c r="O13" s="11">
        <v>3115.5801326412447</v>
      </c>
      <c r="P13" s="11">
        <v>4508.654996104</v>
      </c>
      <c r="Q13" s="25">
        <f t="shared" si="0"/>
        <v>69.102207539354126</v>
      </c>
    </row>
    <row r="14" spans="1:17" ht="24.95" customHeight="1" x14ac:dyDescent="0.25">
      <c r="A14" s="9" t="s">
        <v>28</v>
      </c>
      <c r="B14" s="10">
        <v>129480</v>
      </c>
      <c r="C14" s="10">
        <v>423087.43733333319</v>
      </c>
      <c r="D14" s="10">
        <v>287700.886</v>
      </c>
      <c r="E14" s="10">
        <v>18443306</v>
      </c>
      <c r="F14" s="10">
        <v>50452.384402000003</v>
      </c>
      <c r="G14" s="10">
        <v>60889.58425</v>
      </c>
      <c r="H14" s="24">
        <f t="shared" si="1"/>
        <v>82.858809143535922</v>
      </c>
      <c r="I14" s="10">
        <v>172782.8173</v>
      </c>
      <c r="J14" s="10">
        <v>2429.3241909457993</v>
      </c>
      <c r="K14" s="10">
        <v>175212.14149094577</v>
      </c>
      <c r="L14" s="10">
        <v>5129.1100471679993</v>
      </c>
      <c r="M14" s="10">
        <v>712.46985332679992</v>
      </c>
      <c r="N14" s="10">
        <v>7.692407676345498</v>
      </c>
      <c r="O14" s="10">
        <v>5849.2723081711447</v>
      </c>
      <c r="P14" s="10">
        <v>8226.4619224399994</v>
      </c>
      <c r="Q14" s="24">
        <f>O14/P14*100</f>
        <v>71.10313477797304</v>
      </c>
    </row>
    <row r="15" spans="1:17" ht="24.95" customHeight="1" x14ac:dyDescent="0.25">
      <c r="A15" s="8" t="s">
        <v>30</v>
      </c>
      <c r="B15" s="11">
        <v>151044</v>
      </c>
      <c r="C15" s="11">
        <v>505338.02099999995</v>
      </c>
      <c r="D15" s="11">
        <v>336496.44500000007</v>
      </c>
      <c r="E15" s="11">
        <v>23515707</v>
      </c>
      <c r="F15" s="11">
        <v>63739.948900000003</v>
      </c>
      <c r="G15" s="11">
        <v>73956.674277999991</v>
      </c>
      <c r="H15" s="25">
        <f t="shared" si="1"/>
        <v>86.185526218234543</v>
      </c>
      <c r="I15" s="11">
        <v>213672.76700000011</v>
      </c>
      <c r="J15" s="11">
        <v>11106.334819654232</v>
      </c>
      <c r="K15" s="11">
        <v>224779.10181965437</v>
      </c>
      <c r="L15" s="11">
        <v>6475.3359123310001</v>
      </c>
      <c r="M15" s="11">
        <v>956.42371834890014</v>
      </c>
      <c r="N15" s="11">
        <v>39.91481313840994</v>
      </c>
      <c r="O15" s="11">
        <v>7471.6744438183096</v>
      </c>
      <c r="P15" s="11">
        <v>10000.661007403987</v>
      </c>
      <c r="Q15" s="25">
        <f t="shared" si="0"/>
        <v>74.711805932494428</v>
      </c>
    </row>
    <row r="16" spans="1:17" ht="24.95" customHeight="1" x14ac:dyDescent="0.25">
      <c r="A16" s="9" t="s">
        <v>35</v>
      </c>
      <c r="B16" s="10">
        <v>204084</v>
      </c>
      <c r="C16" s="10">
        <v>658912.60800000001</v>
      </c>
      <c r="D16" s="10">
        <v>419996.69400000002</v>
      </c>
      <c r="E16" s="10">
        <v>32360951</v>
      </c>
      <c r="F16" s="10">
        <v>80182.773797999995</v>
      </c>
      <c r="G16" s="10">
        <v>94331.305052999975</v>
      </c>
      <c r="H16" s="24">
        <f t="shared" si="1"/>
        <v>85.00123448196689</v>
      </c>
      <c r="I16" s="10">
        <v>289330.03430000006</v>
      </c>
      <c r="J16" s="10">
        <v>8009.8206660033693</v>
      </c>
      <c r="K16" s="10">
        <v>297339.85496600339</v>
      </c>
      <c r="L16" s="10">
        <v>8119.1896551820037</v>
      </c>
      <c r="M16" s="10">
        <v>1213.7977550410001</v>
      </c>
      <c r="N16" s="10">
        <v>23.399907995103327</v>
      </c>
      <c r="O16" s="10">
        <v>9356.3873182181051</v>
      </c>
      <c r="P16" s="10">
        <v>11226.289747436995</v>
      </c>
      <c r="Q16" s="24">
        <f t="shared" si="0"/>
        <v>83.343540285464343</v>
      </c>
    </row>
    <row r="17" spans="1:17" ht="24.95" customHeight="1" x14ac:dyDescent="0.25">
      <c r="A17" s="2" t="s">
        <v>31</v>
      </c>
      <c r="B17" s="6">
        <f>IFERROR(((B16-B15)/B15),"-")</f>
        <v>0.35115595455628823</v>
      </c>
      <c r="C17" s="6">
        <f t="shared" ref="C17:Q17" si="2">IFERROR(((C16-C15)/C15),"-")</f>
        <v>0.30390467492648859</v>
      </c>
      <c r="D17" s="6">
        <f t="shared" si="2"/>
        <v>0.2481460064162043</v>
      </c>
      <c r="E17" s="6">
        <f t="shared" si="2"/>
        <v>0.3761419548219409</v>
      </c>
      <c r="F17" s="6">
        <f t="shared" si="2"/>
        <v>0.2579673373098671</v>
      </c>
      <c r="G17" s="6">
        <f t="shared" si="2"/>
        <v>0.27549414537506939</v>
      </c>
      <c r="H17" s="6">
        <f t="shared" si="2"/>
        <v>-1.3741190525063925E-2</v>
      </c>
      <c r="I17" s="6">
        <f t="shared" si="2"/>
        <v>0.3540800653365429</v>
      </c>
      <c r="J17" s="6">
        <f t="shared" si="2"/>
        <v>-0.27880612316595593</v>
      </c>
      <c r="K17" s="6">
        <f t="shared" si="2"/>
        <v>0.32280916045552238</v>
      </c>
      <c r="L17" s="6">
        <f t="shared" si="2"/>
        <v>0.2538638558843887</v>
      </c>
      <c r="M17" s="6">
        <f t="shared" si="2"/>
        <v>0.26910043295079678</v>
      </c>
      <c r="N17" s="6">
        <f t="shared" si="2"/>
        <v>-0.41375378824996567</v>
      </c>
      <c r="O17" s="6">
        <f t="shared" si="2"/>
        <v>0.25224772419776842</v>
      </c>
      <c r="P17" s="6">
        <f t="shared" si="2"/>
        <v>0.12255477304206328</v>
      </c>
      <c r="Q17" s="6">
        <f t="shared" si="2"/>
        <v>0.11553373988535474</v>
      </c>
    </row>
    <row r="18" spans="1:17" ht="33.75" customHeight="1" x14ac:dyDescent="0.25">
      <c r="A18" s="3" t="s">
        <v>32</v>
      </c>
      <c r="B18" s="4">
        <f>IFERROR((((B16/B6)^(1/10))-1),"-")</f>
        <v>3.9300199130305025E-2</v>
      </c>
      <c r="C18" s="4">
        <f t="shared" ref="C18:Q18" si="3">IFERROR((((C16/C6)^(1/10))-1),"-")</f>
        <v>6.2630235344364182E-2</v>
      </c>
      <c r="D18" s="4">
        <f t="shared" si="3"/>
        <v>4.9607239503566047E-2</v>
      </c>
      <c r="E18" s="4">
        <f t="shared" si="3"/>
        <v>6.4851369127269853E-2</v>
      </c>
      <c r="F18" s="4">
        <f t="shared" si="3"/>
        <v>8.3622113438273304E-2</v>
      </c>
      <c r="G18" s="4">
        <f t="shared" si="3"/>
        <v>6.8820811638605761E-2</v>
      </c>
      <c r="H18" s="4">
        <f t="shared" si="3"/>
        <v>1.3848253737664296E-2</v>
      </c>
      <c r="I18" s="4">
        <f t="shared" si="3"/>
        <v>3.4571310614767814E-2</v>
      </c>
      <c r="J18" s="4">
        <f t="shared" si="3"/>
        <v>-8.4717305739611004E-2</v>
      </c>
      <c r="K18" s="4">
        <f t="shared" si="3"/>
        <v>2.8098530869249405E-2</v>
      </c>
      <c r="L18" s="4">
        <f t="shared" si="3"/>
        <v>8.7765599435658093E-2</v>
      </c>
      <c r="M18" s="4">
        <f t="shared" si="3"/>
        <v>6.320756064553068E-2</v>
      </c>
      <c r="N18" s="4">
        <f t="shared" si="3"/>
        <v>-4.6411359397800611E-2</v>
      </c>
      <c r="O18" s="4">
        <f t="shared" si="3"/>
        <v>8.3496439625944996E-2</v>
      </c>
      <c r="P18" s="4">
        <f t="shared" si="3"/>
        <v>5.5251378087425307E-2</v>
      </c>
      <c r="Q18" s="4">
        <f t="shared" si="3"/>
        <v>2.6766192515864651E-2</v>
      </c>
    </row>
    <row r="19" spans="1:17" x14ac:dyDescent="0.25">
      <c r="A19" s="15" t="s">
        <v>24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15" customHeight="1" x14ac:dyDescent="0.25">
      <c r="A20" s="17" t="s">
        <v>36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ht="15" customHeight="1" x14ac:dyDescent="0.25">
      <c r="A21" s="12" t="s">
        <v>27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2020-05-11T09:32:17Z</cp:lastPrinted>
  <dcterms:created xsi:type="dcterms:W3CDTF">2018-10-29T04:00:16Z</dcterms:created>
  <dcterms:modified xsi:type="dcterms:W3CDTF">2025-11-24T07:33:04Z</dcterms:modified>
</cp:coreProperties>
</file>