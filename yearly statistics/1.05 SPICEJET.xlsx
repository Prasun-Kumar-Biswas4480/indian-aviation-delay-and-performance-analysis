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SPICEJET\"/>
    </mc:Choice>
  </mc:AlternateContent>
  <bookViews>
    <workbookView showHorizontalScroll="0" showVerticalScroll="0" showSheetTabs="0" xWindow="0" yWindow="0" windowWidth="24000" windowHeight="10725"/>
  </bookViews>
  <sheets>
    <sheet name="SPICEJET" sheetId="7" r:id="rId1"/>
  </sheets>
  <definedNames>
    <definedName name="_xlnm._FilterDatabase" localSheetId="0" hidden="1">SPICEJET!$A$6:$Q$20</definedName>
    <definedName name="_xlnm.Print_Titles" localSheetId="0">SPICEJET!$1:$5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7" l="1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B18" i="7"/>
  <c r="B17" i="7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<sst xmlns="http://schemas.openxmlformats.org/spreadsheetml/2006/main" count="40" uniqueCount="38">
  <si>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</si>
  <si>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</si>
  <si>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</si>
  <si>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</si>
  <si>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</si>
  <si>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</si>
  <si>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</si>
  <si>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</si>
  <si>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</si>
  <si>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</si>
  <si>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</si>
  <si>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</si>
  <si>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</si>
  <si>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</si>
  <si>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</si>
  <si>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</si>
  <si>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</si>
  <si>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</si>
  <si>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</si>
  <si>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</si>
  <si>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</si>
  <si>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</si>
  <si>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</si>
  <si>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</si>
  <si>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 xml:space="preserve">तालिका - 1.05 (स्पाइसजेट) </t>
  </si>
  <si>
    <t>TABLE - 1.05 (SPICEJET)</t>
  </si>
  <si>
    <t>SOURCE: ICAO ATR FORM 'A' FURNISHED BY SPICEJET</t>
  </si>
  <si>
    <t>2019-20</t>
  </si>
  <si>
    <t xml:space="preserve">YEAR ON YEAR GROWTH AND CAGR FOR LAST TEN YEARS OF SPICEJET ON SCHEDULED INTERNATIONAL SERVICES (ALL AIR TRAFFIC AND OPERATING STATISTICS) 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</si>
  <si>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</si>
  <si>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</si>
  <si>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</si>
  <si>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</si>
  <si>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</si>
  <si>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</si>
  <si>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2021-22*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</si>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</sst>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mmmm/yy;@"/>
    <numFmt numFmtId="167" formatCode="_(* #,##0_);_(* \(#,##0\);_(* &quot;-&quot;??_);_(@_)"/>
    <numFmt numFmtId="168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</cellStyleXfs>
  <cellXfs count="29">
    <xf numFmtId="0" fontId="0" fillId="0" borderId="0" xfId="0"/>
    <xf numFmtId="0" fontId="0" fillId="4" borderId="1" xfId="3" applyFont="1" applyBorder="1" applyAlignment="1" applyProtection="1">
      <alignment horizontal="center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0" fontId="6" fillId="3" borderId="1" xfId="2" applyFont="1" applyBorder="1" applyAlignment="1" applyProtection="1">
      <alignment horizontal="center" vertical="center" textRotation="90" wrapText="1"/>
    </xf>
    <xf numFmtId="165" fontId="0" fillId="0" borderId="1" xfId="1" applyNumberFormat="1" applyFont="1" applyBorder="1" applyAlignment="1">
      <alignment horizontal="center" vertical="center"/>
    </xf>
    <xf numFmtId="166" fontId="3" fillId="5" borderId="1" xfId="4" applyNumberFormat="1" applyBorder="1" applyAlignment="1">
      <alignment horizontal="center" vertical="center"/>
    </xf>
    <xf numFmtId="167" fontId="3" fillId="5" borderId="1" xfId="4" applyNumberFormat="1" applyBorder="1" applyAlignment="1">
      <alignment horizontal="right" vertical="center"/>
    </xf>
    <xf numFmtId="168" fontId="3" fillId="5" borderId="1" xfId="4" applyNumberFormat="1" applyBorder="1" applyAlignment="1">
      <alignment horizontal="right" vertical="center"/>
    </xf>
    <xf numFmtId="168" fontId="7" fillId="7" borderId="1" xfId="5" applyNumberFormat="1" applyFont="1" applyFill="1" applyBorder="1" applyAlignment="1">
      <alignment horizontal="right" vertical="center"/>
    </xf>
    <xf numFmtId="166" fontId="7" fillId="0" borderId="1" xfId="5" applyNumberFormat="1" applyFont="1" applyFill="1" applyBorder="1" applyAlignment="1">
      <alignment horizontal="center" vertical="center"/>
    </xf>
    <xf numFmtId="167" fontId="7" fillId="0" borderId="1" xfId="5" applyNumberFormat="1" applyFont="1" applyFill="1" applyBorder="1" applyAlignment="1">
      <alignment horizontal="right" vertical="center"/>
    </xf>
    <xf numFmtId="168" fontId="7" fillId="0" borderId="1" xfId="5" applyNumberFormat="1" applyFont="1" applyFill="1" applyBorder="1" applyAlignment="1">
      <alignment horizontal="right" vertical="center"/>
    </xf>
    <xf numFmtId="168" fontId="3" fillId="8" borderId="1" xfId="4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166" fontId="0" fillId="5" borderId="1" xfId="4" applyNumberFormat="1" applyFont="1" applyBorder="1" applyAlignment="1">
      <alignment horizontal="center" vertical="center"/>
    </xf>
    <xf numFmtId="0" fontId="6" fillId="5" borderId="1" xfId="4" applyFont="1" applyBorder="1" applyAlignment="1">
      <alignment horizontal="center" vertical="center" wrapText="1"/>
    </xf>
    <xf numFmtId="0" fontId="6" fillId="5" borderId="1" xfId="4" quotePrefix="1" applyFont="1" applyBorder="1" applyAlignment="1" applyProtection="1">
      <alignment horizontal="center" vertical="center" wrapText="1"/>
    </xf>
    <xf numFmtId="0" fontId="6" fillId="5" borderId="1" xfId="4" applyFont="1" applyBorder="1"/>
    <xf numFmtId="0" fontId="6" fillId="3" borderId="1" xfId="2" applyFont="1" applyBorder="1" applyAlignment="1" applyProtection="1">
      <alignment horizontal="center" vertical="center" wrapText="1"/>
    </xf>
    <xf numFmtId="0" fontId="6" fillId="3" borderId="1" xfId="2" applyFont="1" applyBorder="1"/>
    <xf numFmtId="0" fontId="6" fillId="3" borderId="1" xfId="2" applyFont="1" applyBorder="1" applyAlignment="1" applyProtection="1">
      <alignment horizontal="center" vertical="center" textRotation="90" wrapText="1"/>
    </xf>
    <xf numFmtId="0" fontId="6" fillId="3" borderId="1" xfId="2" applyFont="1" applyBorder="1" applyAlignment="1">
      <alignment textRotation="90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6">
    <cellStyle name="20% - Accent6" xfId="3" builtinId="50"/>
    <cellStyle name="40% - Accent6" xfId="4" builtinId="51"/>
    <cellStyle name="Accent6" xfId="2" builtinId="4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topLeftCell="D1" zoomScaleNormal="100" zoomScaleSheetLayoutView="100" workbookViewId="0">
      <selection activeCell="P24" sqref="P24"/>
    </sheetView>
  </sheetViews>
  <sheetFormatPr defaultRowHeight="15" x14ac:dyDescent="0.25"/>
  <cols>
    <col min="1" max="1" width="12.42578125" customWidth="1"/>
    <col min="2" max="2" width="8.85546875" customWidth="1"/>
    <col min="3" max="3" width="9.85546875" customWidth="1"/>
    <col min="4" max="4" width="9.5703125" customWidth="1"/>
    <col min="5" max="5" width="11.7109375" customWidth="1"/>
    <col min="8" max="8" width="7.28515625" customWidth="1"/>
    <col min="9" max="9" width="9.85546875" bestFit="1" customWidth="1"/>
    <col min="10" max="10" width="7.85546875" bestFit="1" customWidth="1"/>
    <col min="11" max="11" width="10.42578125" customWidth="1"/>
    <col min="13" max="13" width="9.42578125" customWidth="1"/>
    <col min="14" max="14" width="6.7109375" customWidth="1"/>
    <col min="16" max="16" width="9.140625" customWidth="1"/>
    <col min="17" max="17" width="7.7109375" customWidth="1"/>
  </cols>
  <sheetData>
    <row r="1" spans="1:17" x14ac:dyDescent="0.25">
      <c r="A1" s="15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25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123" customHeight="1" x14ac:dyDescent="0.25">
      <c r="A5" s="18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1"/>
      <c r="H5" s="21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21"/>
      <c r="Q5" s="21"/>
    </row>
    <row r="6" spans="1:17" ht="17.100000000000001" customHeight="1" x14ac:dyDescent="0.25">
      <c r="A6" s="5" t="s">
        <v>19</v>
      </c>
      <c r="B6" s="6">
        <v>7861</v>
      </c>
      <c r="C6" s="6">
        <v>17204</v>
      </c>
      <c r="D6" s="6">
        <v>10967.817999999999</v>
      </c>
      <c r="E6" s="6">
        <v>983970</v>
      </c>
      <c r="F6" s="6">
        <v>1641.260869</v>
      </c>
      <c r="G6" s="6">
        <v>2076.857575</v>
      </c>
      <c r="H6" s="7">
        <v>79.026163794597224</v>
      </c>
      <c r="I6" s="7">
        <v>2874.7762199999997</v>
      </c>
      <c r="J6" s="7"/>
      <c r="K6" s="7">
        <v>2874.7762199999997</v>
      </c>
      <c r="L6" s="7">
        <v>122.84548800000002</v>
      </c>
      <c r="M6" s="7">
        <v>5.6268293867700008</v>
      </c>
      <c r="N6" s="7"/>
      <c r="O6" s="7">
        <v>128.47231738676999</v>
      </c>
      <c r="P6" s="7">
        <v>178.10503599999996</v>
      </c>
      <c r="Q6" s="8">
        <v>72.132894314549318</v>
      </c>
    </row>
    <row r="7" spans="1:17" ht="17.100000000000001" customHeight="1" x14ac:dyDescent="0.25">
      <c r="A7" s="9" t="s">
        <v>20</v>
      </c>
      <c r="B7" s="10">
        <v>9048</v>
      </c>
      <c r="C7" s="10">
        <v>22295</v>
      </c>
      <c r="D7" s="10">
        <v>15508.349000000002</v>
      </c>
      <c r="E7" s="10">
        <v>1243590</v>
      </c>
      <c r="F7" s="10">
        <v>2372.948093</v>
      </c>
      <c r="G7" s="10">
        <v>2777.0067869999998</v>
      </c>
      <c r="H7" s="11">
        <v>85.449848524262904</v>
      </c>
      <c r="I7" s="11">
        <v>4257.9879099999998</v>
      </c>
      <c r="J7" s="11"/>
      <c r="K7" s="11">
        <v>4257.9879099999998</v>
      </c>
      <c r="L7" s="11">
        <v>177.97102242</v>
      </c>
      <c r="M7" s="11">
        <v>8.2533945600000003</v>
      </c>
      <c r="N7" s="11"/>
      <c r="O7" s="12">
        <v>186.22441697999997</v>
      </c>
      <c r="P7" s="11">
        <v>239.99859800000002</v>
      </c>
      <c r="Q7" s="11">
        <v>77.593960353051713</v>
      </c>
    </row>
    <row r="8" spans="1:17" ht="17.100000000000001" customHeight="1" x14ac:dyDescent="0.25">
      <c r="A8" s="5" t="s">
        <v>21</v>
      </c>
      <c r="B8" s="6">
        <v>11438</v>
      </c>
      <c r="C8" s="6">
        <v>29754</v>
      </c>
      <c r="D8" s="6">
        <v>21095.363000000001</v>
      </c>
      <c r="E8" s="6">
        <v>1678661</v>
      </c>
      <c r="F8" s="6">
        <v>3368.61249</v>
      </c>
      <c r="G8" s="6">
        <v>3863.277126</v>
      </c>
      <c r="H8" s="7">
        <v>87.195724772864764</v>
      </c>
      <c r="I8" s="7">
        <v>6506.8878400000003</v>
      </c>
      <c r="J8" s="7"/>
      <c r="K8" s="7">
        <v>6506.8878400000003</v>
      </c>
      <c r="L8" s="7">
        <v>252.64686599999996</v>
      </c>
      <c r="M8" s="7">
        <v>13.376788529999997</v>
      </c>
      <c r="N8" s="7"/>
      <c r="O8" s="7">
        <v>266.02365452999999</v>
      </c>
      <c r="P8" s="7">
        <v>331.18684100000002</v>
      </c>
      <c r="Q8" s="8">
        <v>80.324343119055257</v>
      </c>
    </row>
    <row r="9" spans="1:17" ht="17.100000000000001" customHeight="1" x14ac:dyDescent="0.25">
      <c r="A9" s="9" t="s">
        <v>22</v>
      </c>
      <c r="B9" s="10">
        <v>13931</v>
      </c>
      <c r="C9" s="10">
        <v>33380</v>
      </c>
      <c r="D9" s="10">
        <v>23465.7</v>
      </c>
      <c r="E9" s="10">
        <v>1959204</v>
      </c>
      <c r="F9" s="10">
        <v>3806.5655999999999</v>
      </c>
      <c r="G9" s="10">
        <v>4255.6723000000002</v>
      </c>
      <c r="H9" s="11">
        <v>89.446868359671399</v>
      </c>
      <c r="I9" s="11">
        <v>8513.0093199999992</v>
      </c>
      <c r="J9" s="11"/>
      <c r="K9" s="11">
        <v>8513.0093199999992</v>
      </c>
      <c r="L9" s="11">
        <v>285.49209999999999</v>
      </c>
      <c r="M9" s="11">
        <v>17.0824</v>
      </c>
      <c r="N9" s="11"/>
      <c r="O9" s="12">
        <v>302.5745</v>
      </c>
      <c r="P9" s="11">
        <v>363.69079999999997</v>
      </c>
      <c r="Q9" s="11">
        <v>83.195533128690641</v>
      </c>
    </row>
    <row r="10" spans="1:17" ht="17.100000000000001" customHeight="1" x14ac:dyDescent="0.25">
      <c r="A10" s="5" t="s">
        <v>23</v>
      </c>
      <c r="B10" s="6">
        <v>14866</v>
      </c>
      <c r="C10" s="6">
        <v>38572</v>
      </c>
      <c r="D10" s="6">
        <v>27315.667000000001</v>
      </c>
      <c r="E10" s="6">
        <v>2239282</v>
      </c>
      <c r="F10" s="6">
        <v>4469.7458039999992</v>
      </c>
      <c r="G10" s="6">
        <v>5075.3610420000005</v>
      </c>
      <c r="H10" s="7">
        <v>88.067543707957526</v>
      </c>
      <c r="I10" s="7">
        <v>18429.919999999998</v>
      </c>
      <c r="J10" s="7"/>
      <c r="K10" s="7">
        <v>18429.919999999998</v>
      </c>
      <c r="L10" s="7">
        <v>335.23090599999995</v>
      </c>
      <c r="M10" s="7">
        <v>22.786607</v>
      </c>
      <c r="N10" s="7"/>
      <c r="O10" s="7">
        <v>358.01751300000001</v>
      </c>
      <c r="P10" s="7">
        <v>431.50635900000003</v>
      </c>
      <c r="Q10" s="8">
        <v>82.969232210086616</v>
      </c>
    </row>
    <row r="11" spans="1:17" ht="17.100000000000001" customHeight="1" x14ac:dyDescent="0.25">
      <c r="A11" s="9" t="s">
        <v>27</v>
      </c>
      <c r="B11" s="10">
        <v>19377</v>
      </c>
      <c r="C11" s="10">
        <v>58897.749999999993</v>
      </c>
      <c r="D11" s="10">
        <v>42344.908000000003</v>
      </c>
      <c r="E11" s="10">
        <v>2793549</v>
      </c>
      <c r="F11" s="10">
        <v>6373.5200620000014</v>
      </c>
      <c r="G11" s="10">
        <v>7744.1065989999997</v>
      </c>
      <c r="H11" s="11">
        <v>82.301553839961571</v>
      </c>
      <c r="I11" s="11">
        <v>25230.279697554997</v>
      </c>
      <c r="J11" s="11"/>
      <c r="K11" s="11">
        <v>25230.283187555</v>
      </c>
      <c r="L11" s="11">
        <v>478.01400807999994</v>
      </c>
      <c r="M11" s="11">
        <v>36.497435100000004</v>
      </c>
      <c r="N11" s="11"/>
      <c r="O11" s="12">
        <v>514.5114431799999</v>
      </c>
      <c r="P11" s="11">
        <v>673.45533</v>
      </c>
      <c r="Q11" s="11">
        <v>76.398748403995839</v>
      </c>
    </row>
    <row r="12" spans="1:17" ht="17.100000000000001" customHeight="1" x14ac:dyDescent="0.25">
      <c r="A12" s="5" t="s">
        <v>29</v>
      </c>
      <c r="B12" s="6">
        <v>9498</v>
      </c>
      <c r="C12" s="6">
        <v>32206.303333333333</v>
      </c>
      <c r="D12" s="6">
        <v>23689.15</v>
      </c>
      <c r="E12" s="6">
        <v>648418</v>
      </c>
      <c r="F12" s="6">
        <v>1699.6295319999999</v>
      </c>
      <c r="G12" s="6">
        <v>2063.8437819999999</v>
      </c>
      <c r="H12" s="7">
        <v>82.352625078674677</v>
      </c>
      <c r="I12" s="7">
        <v>50785.313629999997</v>
      </c>
      <c r="J12" s="7"/>
      <c r="K12" s="7">
        <v>50785.313629999997</v>
      </c>
      <c r="L12" s="7">
        <v>127.47184012</v>
      </c>
      <c r="M12" s="7">
        <v>107.64561389892999</v>
      </c>
      <c r="N12" s="7"/>
      <c r="O12" s="7">
        <v>235.11745401893</v>
      </c>
      <c r="P12" s="7">
        <v>534.24919252999996</v>
      </c>
      <c r="Q12" s="8">
        <v>44.00894887748985</v>
      </c>
    </row>
    <row r="13" spans="1:17" ht="17.100000000000001" customHeight="1" x14ac:dyDescent="0.25">
      <c r="A13" s="9" t="s">
        <v>35</v>
      </c>
      <c r="B13" s="10">
        <v>10982</v>
      </c>
      <c r="C13" s="10">
        <v>42733.616666666661</v>
      </c>
      <c r="D13" s="10">
        <v>31577.887000000002</v>
      </c>
      <c r="E13" s="10">
        <v>769479</v>
      </c>
      <c r="F13" s="10">
        <v>1905.284349</v>
      </c>
      <c r="G13" s="10">
        <v>2556.2378569999996</v>
      </c>
      <c r="H13" s="11">
        <v>74.534705124664796</v>
      </c>
      <c r="I13" s="11">
        <v>57991.900449999994</v>
      </c>
      <c r="J13" s="11"/>
      <c r="K13" s="11">
        <v>57991.900449999994</v>
      </c>
      <c r="L13" s="11">
        <v>142.89632620999998</v>
      </c>
      <c r="M13" s="11">
        <v>186.21755846871</v>
      </c>
      <c r="N13" s="11">
        <v>0</v>
      </c>
      <c r="O13" s="12">
        <v>329.11388467870995</v>
      </c>
      <c r="P13" s="11">
        <v>900.07751650200009</v>
      </c>
      <c r="Q13" s="11">
        <v>36.56506008035349</v>
      </c>
    </row>
    <row r="14" spans="1:17" ht="17.100000000000001" customHeight="1" x14ac:dyDescent="0.25">
      <c r="A14" s="14" t="s">
        <v>31</v>
      </c>
      <c r="B14" s="6">
        <v>12354</v>
      </c>
      <c r="C14" s="6">
        <v>39296.583333333336</v>
      </c>
      <c r="D14" s="6">
        <v>28702.714999999997</v>
      </c>
      <c r="E14" s="6">
        <v>1911174</v>
      </c>
      <c r="F14" s="6">
        <v>4586.5848899999992</v>
      </c>
      <c r="G14" s="6">
        <v>5400.6456450000005</v>
      </c>
      <c r="H14" s="7">
        <v>84.926603067289349</v>
      </c>
      <c r="I14" s="7">
        <v>7284.4891500000003</v>
      </c>
      <c r="J14" s="7"/>
      <c r="K14" s="7">
        <v>7284.4891500000003</v>
      </c>
      <c r="L14" s="7">
        <v>343.99386675</v>
      </c>
      <c r="M14" s="7">
        <v>16.995869363050002</v>
      </c>
      <c r="N14" s="7"/>
      <c r="O14" s="7">
        <v>360.98973611305001</v>
      </c>
      <c r="P14" s="7">
        <v>532.03976899999998</v>
      </c>
      <c r="Q14" s="8">
        <v>67.850141501931603</v>
      </c>
    </row>
    <row r="15" spans="1:17" ht="18.75" customHeight="1" x14ac:dyDescent="0.25">
      <c r="A15" s="9" t="s">
        <v>32</v>
      </c>
      <c r="B15" s="10">
        <v>11394</v>
      </c>
      <c r="C15" s="10">
        <v>37381.35</v>
      </c>
      <c r="D15" s="10">
        <v>27462.240000000002</v>
      </c>
      <c r="E15" s="10">
        <v>1802972</v>
      </c>
      <c r="F15" s="10">
        <v>4013.7673862000001</v>
      </c>
      <c r="G15" s="10">
        <v>4731.8077119999998</v>
      </c>
      <c r="H15" s="11">
        <v>84.825242919761322</v>
      </c>
      <c r="I15" s="11">
        <v>3071.4193399999999</v>
      </c>
      <c r="J15" s="11"/>
      <c r="K15" s="11">
        <v>3071.4193399999999</v>
      </c>
      <c r="L15" s="11">
        <v>327.15121470000008</v>
      </c>
      <c r="M15" s="11">
        <v>7.0105632933799997</v>
      </c>
      <c r="N15" s="11"/>
      <c r="O15" s="12">
        <v>334.1617779933801</v>
      </c>
      <c r="P15" s="11">
        <v>512.31259599999998</v>
      </c>
      <c r="Q15" s="11">
        <v>65.226149152378071</v>
      </c>
    </row>
    <row r="16" spans="1:17" x14ac:dyDescent="0.25">
      <c r="A16" s="14" t="s">
        <v>36</v>
      </c>
      <c r="B16" s="6">
        <v>9496</v>
      </c>
      <c r="C16" s="6">
        <v>30333.116666666661</v>
      </c>
      <c r="D16" s="6">
        <v>22194.139999999996</v>
      </c>
      <c r="E16" s="6">
        <v>1458761</v>
      </c>
      <c r="F16" s="6">
        <v>3414.0333269999996</v>
      </c>
      <c r="G16" s="6">
        <v>4173.0549929999997</v>
      </c>
      <c r="H16" s="7">
        <v>81.811366797868601</v>
      </c>
      <c r="I16" s="7">
        <v>8211.3710099999989</v>
      </c>
      <c r="J16" s="7"/>
      <c r="K16" s="7">
        <v>8211.3710099999989</v>
      </c>
      <c r="L16" s="7">
        <v>256.05249952499997</v>
      </c>
      <c r="M16" s="7">
        <v>19.185245774549998</v>
      </c>
      <c r="N16" s="7"/>
      <c r="O16" s="7">
        <v>275.23774529954994</v>
      </c>
      <c r="P16" s="7">
        <v>386.69734800000003</v>
      </c>
      <c r="Q16" s="8">
        <v>71.176527773743587</v>
      </c>
    </row>
    <row r="17" spans="1:17" x14ac:dyDescent="0.25">
      <c r="A17" s="1" t="s">
        <v>33</v>
      </c>
      <c r="B17" s="2">
        <f>IFERROR(((B16-B15)/B15),"-")</f>
        <v>-0.16657890117605759</v>
      </c>
      <c r="C17" s="2">
        <f t="shared" ref="C17:Q17" si="0">IFERROR(((C16-C15)/C15),"-")</f>
        <v>-0.18854945937836215</v>
      </c>
      <c r="D17" s="2">
        <f t="shared" si="0"/>
        <v>-0.19183067368138962</v>
      </c>
      <c r="E17" s="2">
        <f t="shared" si="0"/>
        <v>-0.19091311456861226</v>
      </c>
      <c r="F17" s="2">
        <f t="shared" si="0"/>
        <v>-0.14941923671560686</v>
      </c>
      <c r="G17" s="2">
        <f t="shared" si="0"/>
        <v>-0.1180844093860761</v>
      </c>
      <c r="H17" s="2">
        <f t="shared" si="0"/>
        <v>-3.5530415453612491E-2</v>
      </c>
      <c r="I17" s="2">
        <f t="shared" si="0"/>
        <v>1.6734776665175257</v>
      </c>
      <c r="J17" s="2" t="str">
        <f t="shared" si="0"/>
        <v>-</v>
      </c>
      <c r="K17" s="2">
        <f t="shared" si="0"/>
        <v>1.6734776665175257</v>
      </c>
      <c r="L17" s="2">
        <f t="shared" si="0"/>
        <v>-0.21732676505633067</v>
      </c>
      <c r="M17" s="2">
        <f t="shared" si="0"/>
        <v>1.7366197225073798</v>
      </c>
      <c r="N17" s="2" t="str">
        <f t="shared" si="0"/>
        <v>-</v>
      </c>
      <c r="O17" s="2">
        <f t="shared" si="0"/>
        <v>-0.17633384957329701</v>
      </c>
      <c r="P17" s="2">
        <f t="shared" si="0"/>
        <v>-0.24519258160109722</v>
      </c>
      <c r="Q17" s="2">
        <f t="shared" si="0"/>
        <v>9.1226888275506485E-2</v>
      </c>
    </row>
    <row r="18" spans="1:17" ht="30" x14ac:dyDescent="0.25">
      <c r="A18" s="13" t="s">
        <v>34</v>
      </c>
      <c r="B18" s="4">
        <f>IFERROR((((B16/B6)^(1/10))-1),"-")</f>
        <v>1.9075336444897673E-2</v>
      </c>
      <c r="C18" s="4">
        <f t="shared" ref="C18:Q18" si="1">IFERROR((((C16/C6)^(1/10))-1),"-")</f>
        <v>5.8348649991209589E-2</v>
      </c>
      <c r="D18" s="4">
        <f t="shared" si="1"/>
        <v>7.3029862562313141E-2</v>
      </c>
      <c r="E18" s="4">
        <f t="shared" si="1"/>
        <v>4.0160191467694561E-2</v>
      </c>
      <c r="F18" s="4">
        <f t="shared" si="1"/>
        <v>7.5991930007363484E-2</v>
      </c>
      <c r="G18" s="4">
        <f t="shared" si="1"/>
        <v>7.2271441523752866E-2</v>
      </c>
      <c r="H18" s="4">
        <f t="shared" si="1"/>
        <v>3.4697263580232285E-3</v>
      </c>
      <c r="I18" s="4">
        <f t="shared" si="1"/>
        <v>0.11066008167140606</v>
      </c>
      <c r="J18" s="4" t="str">
        <f t="shared" si="1"/>
        <v>-</v>
      </c>
      <c r="K18" s="4">
        <f t="shared" si="1"/>
        <v>0.11066008167140606</v>
      </c>
      <c r="L18" s="4">
        <f t="shared" si="1"/>
        <v>7.6209895534026684E-2</v>
      </c>
      <c r="M18" s="4">
        <f t="shared" si="1"/>
        <v>0.13049946725121142</v>
      </c>
      <c r="N18" s="4" t="str">
        <f t="shared" si="1"/>
        <v>-</v>
      </c>
      <c r="O18" s="4">
        <f t="shared" si="1"/>
        <v>7.9169949144127783E-2</v>
      </c>
      <c r="P18" s="4">
        <f t="shared" si="1"/>
        <v>8.0611286940731164E-2</v>
      </c>
      <c r="Q18" s="4">
        <f t="shared" si="1"/>
        <v>-1.3338170848501418E-3</v>
      </c>
    </row>
    <row r="19" spans="1:17" x14ac:dyDescent="0.25">
      <c r="A19" s="27" t="s">
        <v>26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spans="1:17" ht="21.75" customHeight="1" x14ac:dyDescent="0.25">
      <c r="A20" s="25" t="s">
        <v>37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 ht="21.75" customHeight="1" x14ac:dyDescent="0.25">
      <c r="A21" s="22" t="s">
        <v>30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2022-04-26T05:59:02Z</cp:lastPrinted>
  <dcterms:created xsi:type="dcterms:W3CDTF">2018-10-29T04:00:15Z</dcterms:created>
  <dcterms:modified xsi:type="dcterms:W3CDTF">2025-11-19T12:12:59Z</dcterms:modified>
</cp:coreProperties>
</file>