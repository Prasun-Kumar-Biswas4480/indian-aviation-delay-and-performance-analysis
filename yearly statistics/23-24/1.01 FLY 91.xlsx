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FLY91\"/>
    </mc:Choice>
  </mc:AlternateContent>
  <bookViews>
    <workbookView xWindow="0" yWindow="0" windowWidth="24000" windowHeight="9435"/>
  </bookViews>
  <sheets>
    <sheet name="FLY 91" sheetId="4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7" i="4" l="1"/>
  <c r="Q17" i="4" l="1"/>
  <c r="P18" i="4" l="1"/>
  <c r="O18" i="4"/>
  <c r="N18" i="4"/>
  <c r="M18" i="4"/>
  <c r="L18" i="4"/>
  <c r="K18" i="4"/>
  <c r="J18" i="4"/>
  <c r="I18" i="4"/>
  <c r="G18" i="4"/>
  <c r="F18" i="4"/>
  <c r="E18" i="4"/>
  <c r="D18" i="4"/>
  <c r="C18" i="4"/>
  <c r="B18" i="4"/>
  <c r="H18" i="4" l="1"/>
  <c r="Q18" i="4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<sst xmlns="http://schemas.openxmlformats.org/spreadsheetml/2006/main" count="26" uniqueCount="24">
  <si>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</si>
  <si>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</si>
  <si>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</si>
  <si>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</si>
  <si>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</si>
  <si>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</si>
  <si>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</si>
  <si>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</si>
  <si>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</si>
  <si>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</si>
  <si>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</si>
  <si>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</si>
  <si>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</si>
  <si>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</si>
  <si>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</si>
  <si>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</si>
  <si>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</si>
  <si>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</si>
  <si>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</si>
  <si>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Table 1.01 (FLY 91)</t>
  </si>
  <si>
    <t xml:space="preserve">SOURCE:-  ICAO ATR FORM 'A' FURNISHED BY FLY 91 </t>
  </si>
  <si>
    <t xml:space="preserve">तालिका 1.01 (फ्लाई 91 ) </t>
  </si>
  <si>
    <t>2023-24</t>
  </si>
  <si>
    <t>MONTHLY TRAFFIC AND OPERATING STATISTICS OF FLY 91 ON SCHEDULED DOMESTIC SERVICES DURING 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</si>
</sst>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-409]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5">
    <xf numFmtId="0" fontId="0" fillId="0" borderId="0" xfId="0"/>
    <xf numFmtId="0" fontId="4" fillId="4" borderId="1" xfId="3" applyFont="1" applyBorder="1" applyAlignment="1" applyProtection="1">
      <alignment horizontal="center" vertical="center" wrapText="1"/>
    </xf>
    <xf numFmtId="164" fontId="3" fillId="4" borderId="1" xfId="3" applyNumberForma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0" fontId="2" fillId="3" borderId="1" xfId="2" applyFont="1" applyBorder="1" applyAlignment="1" applyProtection="1">
      <alignment horizontal="center" vertical="center" textRotation="90" wrapText="1"/>
    </xf>
    <xf numFmtId="165" fontId="4" fillId="4" borderId="1" xfId="3" applyNumberFormat="1" applyFont="1" applyBorder="1" applyAlignment="1" applyProtection="1">
      <alignment horizontal="right" vertical="center" wrapText="1"/>
    </xf>
    <xf numFmtId="43" fontId="0" fillId="0" borderId="1" xfId="1" applyNumberFormat="1" applyFont="1" applyBorder="1" applyAlignment="1">
      <alignment horizontal="right" vertical="center"/>
    </xf>
    <xf numFmtId="43" fontId="3" fillId="4" borderId="1" xfId="3" applyNumberFormat="1" applyBorder="1" applyAlignment="1">
      <alignment horizontal="right" vertical="center"/>
    </xf>
    <xf numFmtId="43" fontId="4" fillId="4" borderId="1" xfId="3" applyNumberFormat="1" applyFont="1" applyBorder="1" applyAlignment="1" applyProtection="1">
      <alignment horizontal="right" vertical="center" wrapText="1"/>
    </xf>
    <xf numFmtId="165" fontId="4" fillId="4" borderId="1" xfId="3" applyNumberFormat="1" applyFont="1" applyBorder="1" applyAlignment="1" applyProtection="1">
      <alignment vertical="center" wrapText="1"/>
    </xf>
    <xf numFmtId="166" fontId="3" fillId="4" borderId="1" xfId="3" applyNumberFormat="1" applyFont="1" applyBorder="1" applyAlignment="1" applyProtection="1">
      <alignment horizontal="center" vertical="center" wrapText="1"/>
    </xf>
    <xf numFmtId="166" fontId="2" fillId="2" borderId="1" xfId="0" applyNumberFormat="1" applyFont="1" applyFill="1" applyBorder="1" applyAlignment="1" applyProtection="1">
      <alignment horizontal="center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view="pageBreakPreview" zoomScale="90" zoomScaleNormal="100" zoomScaleSheetLayoutView="90" workbookViewId="0">
      <selection activeCell="H18" sqref="H18"/>
    </sheetView>
  </sheetViews>
  <sheetFormatPr defaultRowHeight="15" x14ac:dyDescent="0.25"/>
  <cols>
    <col min="1" max="1" width="14" bestFit="1" customWidth="1"/>
    <col min="2" max="2" width="6.85546875" customWidth="1"/>
    <col min="3" max="3" width="6.7109375" customWidth="1"/>
    <col min="4" max="4" width="7.140625" customWidth="1"/>
    <col min="5" max="5" width="9.7109375" customWidth="1"/>
    <col min="6" max="6" width="8" customWidth="1"/>
    <col min="7" max="7" width="8.28515625" customWidth="1"/>
    <col min="8" max="8" width="9.42578125" customWidth="1"/>
    <col min="9" max="9" width="7.140625" customWidth="1"/>
    <col min="10" max="10" width="6.7109375" customWidth="1"/>
    <col min="11" max="11" width="7.5703125" customWidth="1"/>
    <col min="12" max="12" width="7.42578125" customWidth="1"/>
    <col min="13" max="14" width="7.7109375" customWidth="1"/>
    <col min="15" max="15" width="7.140625" customWidth="1"/>
    <col min="16" max="17" width="8.28515625" customWidth="1"/>
  </cols>
  <sheetData>
    <row r="1" spans="1:17" x14ac:dyDescent="0.25">
      <c r="A1" s="20" t="s">
        <v>21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x14ac:dyDescent="0.25">
      <c r="A2" s="21" t="s">
        <v>19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x14ac:dyDescent="0.25">
      <c r="A3" s="23" t="s">
        <v>23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28.15" customHeight="1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5" t="s">
        <v>3</v>
      </c>
      <c r="H4" s="15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5" t="s">
        <v>7</v>
      </c>
      <c r="Q4" s="15" t="s">
        <v>8</v>
      </c>
    </row>
    <row r="5" spans="1:17" ht="120.75" customHeight="1" x14ac:dyDescent="0.25">
      <c r="A5" s="23"/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16"/>
      <c r="H5" s="16"/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15</v>
      </c>
      <c r="O5" s="7" t="s">
        <v>16</v>
      </c>
      <c r="P5" s="16"/>
      <c r="Q5" s="16"/>
    </row>
    <row r="6" spans="1:17" x14ac:dyDescent="0.25">
      <c r="A6" s="13">
        <v>45017</v>
      </c>
      <c r="B6" s="2"/>
      <c r="C6" s="2"/>
      <c r="D6" s="2"/>
      <c r="E6" s="2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x14ac:dyDescent="0.25">
      <c r="A7" s="14">
        <v>45047</v>
      </c>
      <c r="B7" s="3"/>
      <c r="C7" s="3"/>
      <c r="D7" s="3"/>
      <c r="E7" s="3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x14ac:dyDescent="0.25">
      <c r="A8" s="13">
        <v>45078</v>
      </c>
      <c r="B8" s="2"/>
      <c r="C8" s="2"/>
      <c r="D8" s="2"/>
      <c r="E8" s="2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x14ac:dyDescent="0.25">
      <c r="A9" s="14">
        <v>45108</v>
      </c>
      <c r="B9" s="3"/>
      <c r="C9" s="3"/>
      <c r="D9" s="3"/>
      <c r="E9" s="3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x14ac:dyDescent="0.25">
      <c r="A10" s="13">
        <v>45139</v>
      </c>
      <c r="B10" s="2"/>
      <c r="C10" s="2"/>
      <c r="D10" s="2"/>
      <c r="E10" s="2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14">
        <v>45170</v>
      </c>
      <c r="B11" s="3"/>
      <c r="C11" s="3"/>
      <c r="D11" s="3"/>
      <c r="E11" s="3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x14ac:dyDescent="0.25">
      <c r="A12" s="13">
        <v>45200</v>
      </c>
      <c r="B12" s="2"/>
      <c r="C12" s="2"/>
      <c r="D12" s="2"/>
      <c r="E12" s="2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x14ac:dyDescent="0.25">
      <c r="A13" s="14">
        <v>45231</v>
      </c>
      <c r="B13" s="3"/>
      <c r="C13" s="3"/>
      <c r="D13" s="3"/>
      <c r="E13" s="3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x14ac:dyDescent="0.25">
      <c r="A14" s="13">
        <v>45261</v>
      </c>
      <c r="B14" s="2"/>
      <c r="C14" s="2"/>
      <c r="D14" s="2"/>
      <c r="E14" s="2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x14ac:dyDescent="0.25">
      <c r="A15" s="14">
        <v>45292</v>
      </c>
      <c r="B15" s="3"/>
      <c r="C15" s="3"/>
      <c r="D15" s="3"/>
      <c r="E15" s="3"/>
      <c r="F15" s="6"/>
      <c r="G15" s="6"/>
      <c r="H15" s="6"/>
      <c r="I15" s="9"/>
      <c r="J15" s="9"/>
      <c r="K15" s="9"/>
      <c r="L15" s="6"/>
      <c r="M15" s="9"/>
      <c r="N15" s="9"/>
      <c r="O15" s="6"/>
      <c r="P15" s="6"/>
      <c r="Q15" s="6"/>
    </row>
    <row r="16" spans="1:17" x14ac:dyDescent="0.25">
      <c r="A16" s="13">
        <v>45323</v>
      </c>
      <c r="B16" s="2"/>
      <c r="C16" s="2"/>
      <c r="D16" s="2"/>
      <c r="E16" s="2"/>
      <c r="F16" s="5"/>
      <c r="G16" s="5"/>
      <c r="H16" s="5"/>
      <c r="I16" s="10"/>
      <c r="J16" s="10"/>
      <c r="K16" s="10"/>
      <c r="L16" s="5"/>
      <c r="M16" s="10"/>
      <c r="N16" s="10"/>
      <c r="O16" s="5"/>
      <c r="P16" s="5"/>
      <c r="Q16" s="5"/>
    </row>
    <row r="17" spans="1:17" x14ac:dyDescent="0.25">
      <c r="A17" s="14">
        <v>45352</v>
      </c>
      <c r="B17" s="3">
        <v>38</v>
      </c>
      <c r="C17" s="3">
        <v>63</v>
      </c>
      <c r="D17" s="3">
        <v>19.937999999999999</v>
      </c>
      <c r="E17" s="3">
        <v>1351</v>
      </c>
      <c r="F17" s="6">
        <v>0.693496</v>
      </c>
      <c r="G17" s="6">
        <v>1.3956600000000001</v>
      </c>
      <c r="H17" s="6">
        <f>F17/G17*100</f>
        <v>49.689465915767443</v>
      </c>
      <c r="I17" s="9"/>
      <c r="J17" s="9"/>
      <c r="K17" s="9">
        <v>0</v>
      </c>
      <c r="L17" s="6">
        <v>6.9349600000000011E-2</v>
      </c>
      <c r="M17" s="9">
        <v>0</v>
      </c>
      <c r="N17" s="9">
        <v>0</v>
      </c>
      <c r="O17" s="6">
        <v>6.9349600000000011E-2</v>
      </c>
      <c r="P17" s="6">
        <v>0.11639628</v>
      </c>
      <c r="Q17" s="6">
        <f t="shared" ref="Q17" si="0">O17/P17*100</f>
        <v>59.58059828028869</v>
      </c>
    </row>
    <row r="18" spans="1:17" x14ac:dyDescent="0.25">
      <c r="A18" s="1" t="s">
        <v>22</v>
      </c>
      <c r="B18" s="4">
        <f>SUM(B6:B17)</f>
        <v>38</v>
      </c>
      <c r="C18" s="4">
        <f t="shared" ref="C18:G18" si="1">SUM(C6:C17)</f>
        <v>63</v>
      </c>
      <c r="D18" s="4">
        <f t="shared" si="1"/>
        <v>19.937999999999999</v>
      </c>
      <c r="E18" s="4">
        <f t="shared" si="1"/>
        <v>1351</v>
      </c>
      <c r="F18" s="8">
        <f t="shared" si="1"/>
        <v>0.693496</v>
      </c>
      <c r="G18" s="8">
        <f t="shared" si="1"/>
        <v>1.3956600000000001</v>
      </c>
      <c r="H18" s="8">
        <f t="shared" ref="H18" si="2">F18/G18*100</f>
        <v>49.689465915767443</v>
      </c>
      <c r="I18" s="11">
        <f>SUM(I6:I17)</f>
        <v>0</v>
      </c>
      <c r="J18" s="11">
        <f t="shared" ref="J18:P18" si="3">SUM(J6:J17)</f>
        <v>0</v>
      </c>
      <c r="K18" s="11">
        <f t="shared" si="3"/>
        <v>0</v>
      </c>
      <c r="L18" s="8">
        <f t="shared" si="3"/>
        <v>6.9349600000000011E-2</v>
      </c>
      <c r="M18" s="11">
        <f t="shared" si="3"/>
        <v>0</v>
      </c>
      <c r="N18" s="11">
        <f t="shared" si="3"/>
        <v>0</v>
      </c>
      <c r="O18" s="8">
        <f t="shared" si="3"/>
        <v>6.9349600000000011E-2</v>
      </c>
      <c r="P18" s="8">
        <f t="shared" si="3"/>
        <v>0.11639628</v>
      </c>
      <c r="Q18" s="12">
        <f t="shared" ref="Q18" si="4">O18/P18*100</f>
        <v>59.58059828028869</v>
      </c>
    </row>
    <row r="19" spans="1:17" x14ac:dyDescent="0.25">
      <c r="A19" s="17" t="s">
        <v>20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9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93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 91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2022-04-26T05:16:06Z</cp:lastPrinted>
  <dcterms:created xsi:type="dcterms:W3CDTF">2018-10-29T04:00:07Z</dcterms:created>
  <dcterms:modified xsi:type="dcterms:W3CDTF">2025-01-24T06:46:20Z</dcterms:modified>
</cp:coreProperties>
</file>