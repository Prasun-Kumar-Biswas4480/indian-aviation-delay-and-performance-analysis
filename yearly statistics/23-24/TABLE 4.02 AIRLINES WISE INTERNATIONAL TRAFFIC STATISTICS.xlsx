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 DOMESTIC  AND INTERNTAIONAL TRAFFIC STATISTICS\"/>
    </mc:Choice>
  </mc:AlternateContent>
  <bookViews>
    <workbookView xWindow="0" yWindow="0" windowWidth="24000" windowHeight="9435"/>
  </bookViews>
  <sheets>
    <sheet name="inter indian" sheetId="1" r:id="rId1"/>
  </sheets>
  <definedNames>
    <definedName name="_xlnm.Print_Area" localSheetId="0">'inter indian'!$A$1:$Q$15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" l="1"/>
  <c r="H12" i="1"/>
  <c r="P14" i="1" l="1"/>
  <c r="O14" i="1"/>
  <c r="N14" i="1"/>
  <c r="M14" i="1"/>
  <c r="L14" i="1"/>
  <c r="K14" i="1"/>
  <c r="J14" i="1"/>
  <c r="I14" i="1"/>
  <c r="G14" i="1"/>
  <c r="F14" i="1"/>
  <c r="E14" i="1"/>
  <c r="D14" i="1"/>
  <c r="C14" i="1"/>
  <c r="B14" i="1"/>
  <c r="Q13" i="1"/>
  <c r="Q11" i="1"/>
  <c r="Q10" i="1"/>
  <c r="Q9" i="1"/>
  <c r="Q8" i="1"/>
  <c r="Q7" i="1"/>
  <c r="Q6" i="1"/>
  <c r="H13" i="1"/>
  <c r="H11" i="1"/>
  <c r="H10" i="1"/>
  <c r="H9" i="1"/>
  <c r="H8" i="1"/>
  <c r="H7" i="1"/>
  <c r="H6" i="1"/>
  <c r="Q14" i="1" l="1"/>
  <c r="H14" i="1"/>
</calcChain>
</file>

<file path=xl/sharedStrings.xml><?xml version="1.0" encoding="utf-8"?>
<sst xmlns="http://schemas.openxmlformats.org/spreadsheetml/2006/main" count="34" uniqueCount="32">
  <si>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</si>
  <si>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</si>
  <si>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</si>
  <si>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</si>
  <si>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</si>
  <si>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</si>
  <si>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</si>
  <si>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</si>
  <si>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</si>
  <si>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</si>
  <si>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</si>
  <si>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</si>
  <si>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</si>
  <si>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</si>
  <si>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</si>
  <si>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</si>
  <si>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</si>
  <si>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</si>
  <si>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</si>
  <si>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GO AIR</t>
  </si>
  <si>
    <t>INDIGO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</si>
  <si>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</si>
  <si>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</si>
  <si>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</si>
  <si>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</si>
  <si>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VISTARA</t>
  </si>
  <si>
    <t xml:space="preserve">SOURCE:-  ICAO ATR FORM 'A' FURNISHED BY ALL SCHEDULED INDIAN AIRLINES </t>
  </si>
  <si>
    <t>AIR INDIA</t>
  </si>
  <si>
    <t>AIR INDIA EXPRESS</t>
  </si>
  <si>
    <t>ALLIANCE AIR</t>
  </si>
  <si>
    <t>AIRLINE-WISE TRAFFIC AND OPERATING STATISTICS OF SCHEDULED INDIAN AIRLINES ON SCHEDULED INTERNATIONAL SERVICES DURING 2023-24</t>
  </si>
  <si>
    <t>AKASA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</si>
</sst>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Font="1"/>
    <xf numFmtId="165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4" fontId="2" fillId="0" borderId="1" xfId="3" applyNumberFormat="1" applyFill="1" applyBorder="1" applyAlignment="1">
      <alignment vertical="center"/>
    </xf>
    <xf numFmtId="165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right" vertical="center"/>
    </xf>
    <xf numFmtId="0" fontId="5" fillId="4" borderId="1" xfId="3" applyFont="1" applyBorder="1" applyAlignment="1">
      <alignment horizontal="center" vertical="center"/>
    </xf>
    <xf numFmtId="164" fontId="5" fillId="4" borderId="1" xfId="3" applyNumberFormat="1" applyFont="1" applyBorder="1" applyAlignment="1">
      <alignment vertical="center"/>
    </xf>
    <xf numFmtId="165" fontId="5" fillId="4" borderId="1" xfId="3" applyNumberFormat="1" applyFont="1" applyBorder="1" applyAlignment="1">
      <alignment horizontal="right" vertical="center"/>
    </xf>
    <xf numFmtId="165" fontId="0" fillId="5" borderId="1" xfId="1" applyNumberFormat="1" applyFont="1" applyFill="1" applyBorder="1" applyAlignment="1">
      <alignment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5"/>
  <sheetViews>
    <sheetView tabSelected="1" topLeftCell="A4" zoomScale="85" zoomScaleNormal="85" zoomScaleSheetLayoutView="100" workbookViewId="0">
      <selection activeCell="G11" sqref="G11"/>
    </sheetView>
  </sheetViews>
  <sheetFormatPr defaultColWidth="9.140625" defaultRowHeight="15" x14ac:dyDescent="0.25"/>
  <cols>
    <col min="1" max="1" width="16.7109375" style="1" customWidth="1"/>
    <col min="2" max="3" width="9.5703125" style="1" customWidth="1"/>
    <col min="4" max="4" width="9.7109375" style="1" customWidth="1"/>
    <col min="5" max="5" width="12.7109375" style="1" customWidth="1"/>
    <col min="6" max="6" width="8.85546875" style="1" customWidth="1"/>
    <col min="7" max="7" width="9.5703125" style="1" customWidth="1"/>
    <col min="8" max="8" width="8" style="1" customWidth="1"/>
    <col min="9" max="9" width="11.42578125" style="1" customWidth="1"/>
    <col min="10" max="10" width="8.7109375" style="1" bestFit="1" customWidth="1"/>
    <col min="11" max="11" width="11.42578125" style="1" bestFit="1" customWidth="1"/>
    <col min="12" max="12" width="9.85546875" style="1" customWidth="1"/>
    <col min="13" max="13" width="8.85546875" style="1" customWidth="1"/>
    <col min="14" max="14" width="6.85546875" style="1" customWidth="1"/>
    <col min="15" max="15" width="11" style="1" customWidth="1"/>
    <col min="16" max="16" width="12.85546875" style="1" customWidth="1"/>
    <col min="17" max="17" width="14.140625" style="1" customWidth="1"/>
    <col min="18" max="16384" width="9.140625" style="7"/>
  </cols>
  <sheetData>
    <row r="1" spans="1:17" ht="18.75" customHeight="1" x14ac:dyDescent="0.25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7" ht="18.75" customHeight="1" x14ac:dyDescent="0.25">
      <c r="A2" s="23" t="s">
        <v>23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</row>
    <row r="3" spans="1:17" ht="18.75" customHeight="1" x14ac:dyDescent="0.25">
      <c r="A3" s="26" t="s">
        <v>30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</row>
    <row r="4" spans="1:17" ht="21" customHeight="1" x14ac:dyDescent="0.25">
      <c r="A4" s="29" t="s">
        <v>18</v>
      </c>
      <c r="B4" s="26" t="s">
        <v>0</v>
      </c>
      <c r="C4" s="27"/>
      <c r="D4" s="28"/>
      <c r="E4" s="26" t="s">
        <v>1</v>
      </c>
      <c r="F4" s="28"/>
      <c r="G4" s="18" t="s">
        <v>2</v>
      </c>
      <c r="H4" s="18" t="s">
        <v>3</v>
      </c>
      <c r="I4" s="26" t="s">
        <v>4</v>
      </c>
      <c r="J4" s="27"/>
      <c r="K4" s="28"/>
      <c r="L4" s="26" t="s">
        <v>5</v>
      </c>
      <c r="M4" s="27"/>
      <c r="N4" s="27"/>
      <c r="O4" s="28"/>
      <c r="P4" s="18" t="s">
        <v>6</v>
      </c>
      <c r="Q4" s="18" t="s">
        <v>7</v>
      </c>
    </row>
    <row r="5" spans="1:17" ht="139.5" customHeight="1" x14ac:dyDescent="0.25">
      <c r="A5" s="30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19"/>
      <c r="H5" s="19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19"/>
      <c r="Q5" s="19"/>
    </row>
    <row r="6" spans="1:17" ht="30" customHeight="1" x14ac:dyDescent="0.25">
      <c r="A6" s="8" t="s">
        <v>27</v>
      </c>
      <c r="B6" s="9">
        <v>45853</v>
      </c>
      <c r="C6" s="9">
        <v>302138.95199999993</v>
      </c>
      <c r="D6" s="9">
        <v>223971.66699999996</v>
      </c>
      <c r="E6" s="9">
        <v>8533053</v>
      </c>
      <c r="F6" s="9">
        <v>48405.069763000007</v>
      </c>
      <c r="G6" s="9">
        <v>56283.199334000004</v>
      </c>
      <c r="H6" s="2">
        <f t="shared" ref="H6:H13" si="0">F6/G6*100</f>
        <v>86.002697671379678</v>
      </c>
      <c r="I6" s="10">
        <v>129649.16890000005</v>
      </c>
      <c r="J6" s="10">
        <v>4433.3050071106991</v>
      </c>
      <c r="K6" s="10">
        <v>134082.47390711075</v>
      </c>
      <c r="L6" s="10">
        <v>5072.841275316001</v>
      </c>
      <c r="M6" s="10">
        <v>851.99674887820004</v>
      </c>
      <c r="N6" s="10">
        <v>33.169475186014445</v>
      </c>
      <c r="O6" s="10">
        <v>5958.0074993802145</v>
      </c>
      <c r="P6" s="10">
        <v>8075.1794691639916</v>
      </c>
      <c r="Q6" s="2">
        <f t="shared" ref="Q6:Q13" si="1">O6/P6*100</f>
        <v>73.781734785357472</v>
      </c>
    </row>
    <row r="7" spans="1:17" ht="30" customHeight="1" x14ac:dyDescent="0.25">
      <c r="A7" s="4" t="s">
        <v>28</v>
      </c>
      <c r="B7" s="5">
        <v>34161</v>
      </c>
      <c r="C7" s="5">
        <v>137683.48116666666</v>
      </c>
      <c r="D7" s="5">
        <v>91773.566660000011</v>
      </c>
      <c r="E7" s="5">
        <v>4987446</v>
      </c>
      <c r="F7" s="5">
        <v>13525.916035</v>
      </c>
      <c r="G7" s="5">
        <v>17117.803838</v>
      </c>
      <c r="H7" s="6">
        <f t="shared" si="0"/>
        <v>79.016655191325839</v>
      </c>
      <c r="I7" s="6">
        <v>24104.334999999999</v>
      </c>
      <c r="J7" s="6">
        <v>16.87</v>
      </c>
      <c r="K7" s="6">
        <v>24121.205000000002</v>
      </c>
      <c r="L7" s="6">
        <v>1087.0880287549999</v>
      </c>
      <c r="M7" s="6">
        <v>70.693121733500007</v>
      </c>
      <c r="N7" s="6">
        <v>4.9718539999999999E-2</v>
      </c>
      <c r="O7" s="6">
        <v>1157.8308690284998</v>
      </c>
      <c r="P7" s="6">
        <v>1659.7921330500003</v>
      </c>
      <c r="Q7" s="6">
        <f t="shared" si="1"/>
        <v>69.757582649876355</v>
      </c>
    </row>
    <row r="8" spans="1:17" ht="30" customHeight="1" x14ac:dyDescent="0.25">
      <c r="A8" s="8" t="s">
        <v>31</v>
      </c>
      <c r="B8" s="9">
        <v>6</v>
      </c>
      <c r="C8" s="9">
        <v>21.916666666666668</v>
      </c>
      <c r="D8" s="9">
        <v>13.77</v>
      </c>
      <c r="E8" s="9">
        <v>459</v>
      </c>
      <c r="F8" s="14">
        <v>1.0534049999999999</v>
      </c>
      <c r="G8" s="14">
        <v>2.6025300000000002</v>
      </c>
      <c r="H8" s="2">
        <f t="shared" si="0"/>
        <v>40.476190476190474</v>
      </c>
      <c r="I8" s="10">
        <v>0</v>
      </c>
      <c r="J8" s="10">
        <v>0</v>
      </c>
      <c r="K8" s="10">
        <v>0</v>
      </c>
      <c r="L8" s="10">
        <v>9.4108779999999989E-2</v>
      </c>
      <c r="M8" s="10">
        <v>0</v>
      </c>
      <c r="N8" s="10">
        <v>0</v>
      </c>
      <c r="O8" s="10">
        <v>9.4108779999999989E-2</v>
      </c>
      <c r="P8" s="10">
        <v>0.28236761999999999</v>
      </c>
      <c r="Q8" s="2">
        <f t="shared" si="1"/>
        <v>33.328460253339244</v>
      </c>
    </row>
    <row r="9" spans="1:17" ht="30" customHeight="1" x14ac:dyDescent="0.25">
      <c r="A9" s="4" t="s">
        <v>29</v>
      </c>
      <c r="B9" s="5">
        <v>622</v>
      </c>
      <c r="C9" s="5">
        <v>765</v>
      </c>
      <c r="D9" s="5">
        <v>220.18800000000002</v>
      </c>
      <c r="E9" s="5">
        <v>32293</v>
      </c>
      <c r="F9" s="5">
        <v>11.431722000000001</v>
      </c>
      <c r="G9" s="5">
        <v>14.86092</v>
      </c>
      <c r="H9" s="6">
        <f t="shared" si="0"/>
        <v>76.92472606002859</v>
      </c>
      <c r="I9" s="6">
        <v>0</v>
      </c>
      <c r="J9" s="6"/>
      <c r="K9" s="6">
        <v>0</v>
      </c>
      <c r="L9" s="6">
        <v>1.0974452879999999</v>
      </c>
      <c r="M9" s="6">
        <v>0</v>
      </c>
      <c r="N9" s="6">
        <v>0</v>
      </c>
      <c r="O9" s="6">
        <v>1.0974452879999999</v>
      </c>
      <c r="P9" s="6">
        <v>1.4972783999999999</v>
      </c>
      <c r="Q9" s="6">
        <f t="shared" si="1"/>
        <v>73.296007475964387</v>
      </c>
    </row>
    <row r="10" spans="1:17" ht="30" customHeight="1" x14ac:dyDescent="0.25">
      <c r="A10" s="8" t="s">
        <v>19</v>
      </c>
      <c r="B10" s="9">
        <v>580</v>
      </c>
      <c r="C10" s="9">
        <v>2297.2333333333336</v>
      </c>
      <c r="D10" s="9">
        <v>1517</v>
      </c>
      <c r="E10" s="9">
        <v>90940</v>
      </c>
      <c r="F10" s="9">
        <v>238.494</v>
      </c>
      <c r="G10" s="9">
        <v>282.19100000000003</v>
      </c>
      <c r="H10" s="2">
        <f t="shared" si="0"/>
        <v>84.515097930125322</v>
      </c>
      <c r="I10" s="10">
        <v>257.16894000000002</v>
      </c>
      <c r="J10" s="10"/>
      <c r="K10" s="10">
        <v>257.16894000000002</v>
      </c>
      <c r="L10" s="10">
        <v>21.463999999999999</v>
      </c>
      <c r="M10" s="10">
        <v>0.70000000000000007</v>
      </c>
      <c r="N10" s="10">
        <v>0</v>
      </c>
      <c r="O10" s="10">
        <v>22.164000000000001</v>
      </c>
      <c r="P10" s="10">
        <v>28.75</v>
      </c>
      <c r="Q10" s="2">
        <f t="shared" si="1"/>
        <v>77.092173913043482</v>
      </c>
    </row>
    <row r="11" spans="1:17" ht="30" customHeight="1" x14ac:dyDescent="0.25">
      <c r="A11" s="4" t="s">
        <v>20</v>
      </c>
      <c r="B11" s="5">
        <v>70359</v>
      </c>
      <c r="C11" s="5">
        <v>338424.66666666669</v>
      </c>
      <c r="D11" s="5">
        <v>178318.74099999998</v>
      </c>
      <c r="E11" s="5">
        <v>11774999</v>
      </c>
      <c r="F11" s="5">
        <v>30396.514999999996</v>
      </c>
      <c r="G11" s="5">
        <v>36440.552000000003</v>
      </c>
      <c r="H11" s="6">
        <f t="shared" si="0"/>
        <v>83.413980666374073</v>
      </c>
      <c r="I11" s="6">
        <v>41079.386999999995</v>
      </c>
      <c r="J11" s="6">
        <v>104.95400000000001</v>
      </c>
      <c r="K11" s="6">
        <v>41184.341</v>
      </c>
      <c r="L11" s="6">
        <v>2731.9180163699998</v>
      </c>
      <c r="M11" s="6">
        <v>114.61617699999999</v>
      </c>
      <c r="N11" s="6">
        <v>0.26278500000000005</v>
      </c>
      <c r="O11" s="6">
        <v>2846.79697837</v>
      </c>
      <c r="P11" s="6">
        <v>3756.6200571099998</v>
      </c>
      <c r="Q11" s="6">
        <f t="shared" si="1"/>
        <v>75.780806551942476</v>
      </c>
    </row>
    <row r="12" spans="1:17" ht="30" customHeight="1" x14ac:dyDescent="0.25">
      <c r="A12" s="4" t="s">
        <v>21</v>
      </c>
      <c r="B12" s="5">
        <v>11394</v>
      </c>
      <c r="C12" s="5">
        <v>37381.35</v>
      </c>
      <c r="D12" s="5">
        <v>27462.239999999998</v>
      </c>
      <c r="E12" s="5">
        <v>1802972</v>
      </c>
      <c r="F12" s="5">
        <v>4013.7673862000006</v>
      </c>
      <c r="G12" s="5">
        <v>4731.8077119999989</v>
      </c>
      <c r="H12" s="6">
        <f t="shared" si="0"/>
        <v>84.825242919761351</v>
      </c>
      <c r="I12" s="6">
        <v>3071.4193400000004</v>
      </c>
      <c r="J12" s="6"/>
      <c r="K12" s="6">
        <v>3071.4193400000004</v>
      </c>
      <c r="L12" s="6">
        <v>327.15121469999997</v>
      </c>
      <c r="M12" s="6">
        <v>7.0105632933800006</v>
      </c>
      <c r="N12" s="6"/>
      <c r="O12" s="6">
        <v>334.16177799338004</v>
      </c>
      <c r="P12" s="6">
        <v>512.31259599999987</v>
      </c>
      <c r="Q12" s="6">
        <f t="shared" si="1"/>
        <v>65.226149152378071</v>
      </c>
    </row>
    <row r="13" spans="1:17" ht="30" customHeight="1" x14ac:dyDescent="0.25">
      <c r="A13" s="8" t="s">
        <v>25</v>
      </c>
      <c r="B13" s="9">
        <v>14867</v>
      </c>
      <c r="C13" s="9">
        <v>59883.799999999996</v>
      </c>
      <c r="D13" s="9">
        <v>48341.13</v>
      </c>
      <c r="E13" s="9">
        <v>2368997</v>
      </c>
      <c r="F13" s="9">
        <v>8679.9642710000007</v>
      </c>
      <c r="G13" s="9">
        <v>10542.474830000001</v>
      </c>
      <c r="H13" s="2">
        <f t="shared" si="0"/>
        <v>82.333270043007531</v>
      </c>
      <c r="I13" s="10">
        <v>29772.092169999996</v>
      </c>
      <c r="J13" s="10">
        <v>96.53295</v>
      </c>
      <c r="K13" s="10">
        <v>29868.625119999993</v>
      </c>
      <c r="L13" s="10">
        <v>911.49094259999993</v>
      </c>
      <c r="M13" s="10">
        <v>15.90693003495408</v>
      </c>
      <c r="N13" s="10">
        <v>0.36473267799999998</v>
      </c>
      <c r="O13" s="10">
        <v>927.76260531295418</v>
      </c>
      <c r="P13" s="10">
        <v>1337.2709258830002</v>
      </c>
      <c r="Q13" s="2">
        <f t="shared" si="1"/>
        <v>69.377310712139533</v>
      </c>
    </row>
    <row r="14" spans="1:17" ht="30" customHeight="1" x14ac:dyDescent="0.25">
      <c r="A14" s="11" t="s">
        <v>22</v>
      </c>
      <c r="B14" s="12">
        <f t="shared" ref="B14:G14" si="2">SUM(B6:B13)</f>
        <v>177842</v>
      </c>
      <c r="C14" s="12">
        <f t="shared" si="2"/>
        <v>878596.39983333333</v>
      </c>
      <c r="D14" s="12">
        <f t="shared" si="2"/>
        <v>571618.30265999993</v>
      </c>
      <c r="E14" s="12">
        <f t="shared" si="2"/>
        <v>29591159</v>
      </c>
      <c r="F14" s="12">
        <f t="shared" si="2"/>
        <v>105272.21158220001</v>
      </c>
      <c r="G14" s="12">
        <f t="shared" si="2"/>
        <v>125415.49216400002</v>
      </c>
      <c r="H14" s="13">
        <f t="shared" ref="H14" si="3">F14/G14*100</f>
        <v>83.93876208255071</v>
      </c>
      <c r="I14" s="13">
        <f t="shared" ref="I14:P14" si="4">SUM(I6:I13)</f>
        <v>227933.57135000001</v>
      </c>
      <c r="J14" s="13">
        <f t="shared" si="4"/>
        <v>4651.6619571106985</v>
      </c>
      <c r="K14" s="13">
        <f t="shared" si="4"/>
        <v>232585.23330711076</v>
      </c>
      <c r="L14" s="13">
        <f t="shared" si="4"/>
        <v>10153.145031808999</v>
      </c>
      <c r="M14" s="13">
        <f t="shared" si="4"/>
        <v>1060.9235409400342</v>
      </c>
      <c r="N14" s="13">
        <f t="shared" si="4"/>
        <v>33.846711404014449</v>
      </c>
      <c r="O14" s="13">
        <f t="shared" si="4"/>
        <v>11247.915284153049</v>
      </c>
      <c r="P14" s="13">
        <f t="shared" si="4"/>
        <v>15371.704827226991</v>
      </c>
      <c r="Q14" s="13">
        <f t="shared" ref="Q14" si="5">O14/P14*100</f>
        <v>73.172854999338014</v>
      </c>
    </row>
    <row r="15" spans="1:17" ht="19.5" customHeight="1" x14ac:dyDescent="0.25">
      <c r="A15" s="15" t="s">
        <v>26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</row>
  </sheetData>
  <mergeCells count="13">
    <mergeCell ref="A15:Q15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  <ignoredErrors>
    <ignoredError sqref="H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2021-08-23T21:02:12Z</cp:lastPrinted>
  <dcterms:created xsi:type="dcterms:W3CDTF">2018-10-29T04:00:07Z</dcterms:created>
  <dcterms:modified xsi:type="dcterms:W3CDTF">2025-01-24T09:35:18Z</dcterms:modified>
</cp:coreProperties>
</file>