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SPICEJET\"/>
    </mc:Choice>
  </mc:AlternateContent>
  <bookViews>
    <workbookView xWindow="0" yWindow="0" windowWidth="24000" windowHeight="10725"/>
  </bookViews>
  <sheets>
    <sheet name="SPICEJET" sheetId="6" r:id="rId1"/>
  </sheets>
  <definedNames>
    <definedName name="_xlnm._FilterDatabase" localSheetId="0" hidden="1">SPICEJET!$A$6:$Q$20</definedName>
    <definedName name="_xlnm.Print_Titles" localSheetId="0">SPICEJET!$1:$5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6" l="1"/>
  <c r="H14" i="6"/>
  <c r="H15" i="6" l="1"/>
  <c r="P13" i="6"/>
  <c r="O13" i="6"/>
  <c r="M13" i="6"/>
  <c r="L13" i="6"/>
  <c r="G13" i="6"/>
  <c r="F13" i="6"/>
  <c r="Q12" i="6"/>
  <c r="H12" i="6"/>
  <c r="Q11" i="6"/>
  <c r="H11" i="6"/>
  <c r="Q10" i="6"/>
  <c r="H10" i="6"/>
  <c r="Q9" i="6"/>
  <c r="H9" i="6"/>
  <c r="Q8" i="6"/>
  <c r="H8" i="6"/>
  <c r="Q7" i="6"/>
  <c r="H7" i="6"/>
  <c r="Q6" i="6"/>
  <c r="H6" i="6"/>
  <c r="Q18" i="6" l="1"/>
  <c r="C18" i="6"/>
  <c r="D18" i="6"/>
  <c r="E18" i="6"/>
  <c r="F18" i="6"/>
  <c r="G18" i="6"/>
  <c r="H18" i="6"/>
  <c r="I18" i="6"/>
  <c r="K18" i="6"/>
  <c r="L18" i="6"/>
  <c r="M18" i="6"/>
  <c r="O18" i="6"/>
  <c r="P18" i="6"/>
  <c r="B18" i="6" l="1"/>
  <c r="Q17" i="6" l="1"/>
  <c r="K17" i="6"/>
  <c r="I17" i="6"/>
  <c r="H17" i="6"/>
  <c r="E17" i="6"/>
  <c r="D17" i="6"/>
  <c r="C17" i="6"/>
  <c r="B17" i="6"/>
  <c r="G17" i="6" l="1"/>
  <c r="F17" i="6"/>
  <c r="M17" i="6"/>
  <c r="L17" i="6"/>
  <c r="O17" i="6"/>
  <c r="P17" i="6"/>
</calcChain>
</file>

<file path=xl/sharedStrings.xml><?xml version="1.0" encoding="utf-8"?>
<sst xmlns="http://schemas.openxmlformats.org/spreadsheetml/2006/main" count="42" uniqueCount="39">
  <si>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</si>
  <si>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</si>
  <si>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</si>
  <si>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</si>
  <si>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</si>
  <si>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</si>
  <si>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</si>
  <si>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</si>
  <si>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</si>
  <si>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</si>
  <si>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</si>
  <si>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</si>
  <si>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</si>
  <si>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</si>
  <si>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</si>
  <si>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</si>
  <si>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</si>
  <si>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</si>
  <si>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</si>
  <si>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</si>
  <si>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</si>
  <si>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</si>
  <si>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</si>
  <si>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</si>
  <si>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</si>
  <si>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</si>
  <si>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>TABLE - 1.06 (SPICEJET)</t>
  </si>
  <si>
    <t>SOURCE: ICAO ATR FORM 'A' FURNISHED BY SPICEJET</t>
  </si>
  <si>
    <t xml:space="preserve"> तालिका- 1.06 (स्पाइसजेट) </t>
  </si>
  <si>
    <t>2019-20</t>
  </si>
  <si>
    <t>YEAR ON YEAR GROWTH AND CAGR FOR LAST TEN YEARS OF  SPICEJET ON TOTAL (DOMESTIC + INTERNATIONAL) SCHEDULED SERVICES (ALL AIR TRAFFIC AND OPERATING STATISTICS)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</si>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</sst>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[$-1010409]mm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4" fontId="4" fillId="6" borderId="1" xfId="1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4" fillId="4" borderId="1" xfId="1" applyNumberFormat="1" applyFont="1" applyFill="1" applyBorder="1" applyAlignment="1" applyProtection="1">
      <alignment horizontal="right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4" fontId="4" fillId="4" borderId="1" xfId="3" applyNumberFormat="1" applyFont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7" fontId="1" fillId="5" borderId="1" xfId="4" applyNumberFormat="1" applyBorder="1" applyAlignment="1" applyProtection="1">
      <alignment horizontal="center" vertical="center" wrapText="1"/>
    </xf>
    <xf numFmtId="165" fontId="1" fillId="5" borderId="1" xfId="4" applyNumberFormat="1" applyBorder="1" applyAlignment="1">
      <alignment horizontal="right" vertical="center"/>
    </xf>
    <xf numFmtId="166" fontId="1" fillId="5" borderId="1" xfId="4" applyNumberFormat="1" applyBorder="1" applyAlignment="1">
      <alignment horizontal="right" vertical="center"/>
    </xf>
    <xf numFmtId="167" fontId="1" fillId="7" borderId="1" xfId="4" applyNumberFormat="1" applyFill="1" applyBorder="1" applyAlignment="1" applyProtection="1">
      <alignment horizontal="center" vertical="center" wrapText="1"/>
    </xf>
    <xf numFmtId="165" fontId="1" fillId="7" borderId="1" xfId="4" applyNumberFormat="1" applyFill="1" applyBorder="1" applyAlignment="1">
      <alignment horizontal="right" vertical="center"/>
    </xf>
    <xf numFmtId="166" fontId="0" fillId="7" borderId="1" xfId="5" applyNumberFormat="1" applyFont="1" applyFill="1" applyBorder="1" applyAlignment="1">
      <alignment horizontal="right" vertical="center"/>
    </xf>
    <xf numFmtId="166" fontId="1" fillId="7" borderId="1" xfId="4" applyNumberFormat="1" applyFill="1" applyBorder="1" applyAlignment="1">
      <alignment horizontal="right" vertical="center"/>
    </xf>
    <xf numFmtId="167" fontId="0" fillId="5" borderId="1" xfId="4" applyNumberFormat="1" applyFont="1" applyBorder="1" applyAlignment="1" applyProtection="1">
      <alignment horizontal="center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6" fillId="0" borderId="1" xfId="0" applyFont="1" applyBorder="1" applyAlignment="1">
      <alignment horizontal="left" wrapText="1"/>
    </xf>
    <xf numFmtId="0" fontId="8" fillId="2" borderId="1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5" fillId="2" borderId="1" xfId="0" applyFont="1" applyFill="1" applyBorder="1" applyAlignment="1" applyProtection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6">
    <cellStyle name="20% - Accent1" xfId="3" builtinId="30"/>
    <cellStyle name="40% - Accent1" xfId="4" builtinId="31"/>
    <cellStyle name="Accent1" xfId="2" builtinId="2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topLeftCell="A4" zoomScaleNormal="110" zoomScaleSheetLayoutView="100" workbookViewId="0">
      <selection activeCell="E12" sqref="E12"/>
    </sheetView>
  </sheetViews>
  <sheetFormatPr defaultColWidth="9.140625" defaultRowHeight="12.75" x14ac:dyDescent="0.2"/>
  <cols>
    <col min="1" max="1" width="10.85546875" style="1" customWidth="1"/>
    <col min="2" max="2" width="9" style="1" customWidth="1"/>
    <col min="3" max="3" width="9.7109375" style="1" customWidth="1"/>
    <col min="4" max="4" width="9.85546875" style="1" customWidth="1"/>
    <col min="5" max="5" width="11.28515625" style="1" customWidth="1"/>
    <col min="6" max="6" width="8.42578125" style="1" customWidth="1"/>
    <col min="7" max="7" width="8" style="1" customWidth="1"/>
    <col min="8" max="8" width="6.7109375" style="1" customWidth="1"/>
    <col min="9" max="9" width="11.7109375" style="1" customWidth="1"/>
    <col min="10" max="10" width="5.85546875" style="1" customWidth="1"/>
    <col min="11" max="11" width="10.42578125" style="1" customWidth="1"/>
    <col min="12" max="12" width="8.5703125" style="1" bestFit="1" customWidth="1"/>
    <col min="13" max="13" width="7.28515625" style="1" customWidth="1"/>
    <col min="14" max="14" width="5.28515625" style="1" customWidth="1"/>
    <col min="15" max="15" width="8.5703125" style="1" bestFit="1" customWidth="1"/>
    <col min="16" max="16" width="8.42578125" style="1" customWidth="1"/>
    <col min="17" max="17" width="7.28515625" style="1" customWidth="1"/>
    <col min="18" max="16384" width="9.140625" style="1"/>
  </cols>
  <sheetData>
    <row r="1" spans="1:17" x14ac:dyDescent="0.2">
      <c r="A1" s="17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">
      <c r="A2" s="18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25.5" customHeight="1" x14ac:dyDescent="0.2">
      <c r="A3" s="20" t="s">
        <v>30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x14ac:dyDescent="0.2">
      <c r="A4" s="20" t="s">
        <v>0</v>
      </c>
      <c r="B4" s="20" t="s">
        <v>1</v>
      </c>
      <c r="C4" s="20"/>
      <c r="D4" s="20"/>
      <c r="E4" s="20" t="s">
        <v>2</v>
      </c>
      <c r="F4" s="21"/>
      <c r="G4" s="22" t="s">
        <v>3</v>
      </c>
      <c r="H4" s="22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22" t="s">
        <v>7</v>
      </c>
      <c r="Q4" s="22" t="s">
        <v>8</v>
      </c>
    </row>
    <row r="5" spans="1:17" ht="117" customHeight="1" x14ac:dyDescent="0.2">
      <c r="A5" s="20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23"/>
      <c r="H5" s="23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23"/>
      <c r="Q5" s="23"/>
    </row>
    <row r="6" spans="1:17" ht="15" x14ac:dyDescent="0.2">
      <c r="A6" s="16" t="s">
        <v>19</v>
      </c>
      <c r="B6" s="10">
        <v>121738</v>
      </c>
      <c r="C6" s="10">
        <v>174079</v>
      </c>
      <c r="D6" s="10">
        <v>107618.33799999999</v>
      </c>
      <c r="E6" s="10">
        <v>12610917</v>
      </c>
      <c r="F6" s="10">
        <v>13366.902354</v>
      </c>
      <c r="G6" s="10">
        <v>18494.116624000002</v>
      </c>
      <c r="H6" s="11">
        <f t="shared" ref="H6:H12" si="0">F6/G6*100</f>
        <v>72.276511637509827</v>
      </c>
      <c r="I6" s="11">
        <v>80431.520600000003</v>
      </c>
      <c r="J6" s="11">
        <v>0</v>
      </c>
      <c r="K6" s="11">
        <v>80431.520600000003</v>
      </c>
      <c r="L6" s="11">
        <v>1001.3792419999999</v>
      </c>
      <c r="M6" s="11">
        <v>105.14817649499997</v>
      </c>
      <c r="N6" s="11">
        <v>0</v>
      </c>
      <c r="O6" s="11">
        <v>1106.5274184949999</v>
      </c>
      <c r="P6" s="11">
        <v>1582.6904880000002</v>
      </c>
      <c r="Q6" s="11">
        <f t="shared" ref="Q6:Q12" si="1">O6/P6*100</f>
        <v>69.914327967768756</v>
      </c>
    </row>
    <row r="7" spans="1:17" ht="15" x14ac:dyDescent="0.2">
      <c r="A7" s="12" t="s">
        <v>20</v>
      </c>
      <c r="B7" s="13">
        <v>102615</v>
      </c>
      <c r="C7" s="13">
        <v>139259</v>
      </c>
      <c r="D7" s="13">
        <v>86019.104999999996</v>
      </c>
      <c r="E7" s="13">
        <v>11700059</v>
      </c>
      <c r="F7" s="13">
        <v>11832.673454</v>
      </c>
      <c r="G7" s="13">
        <v>14540.973821</v>
      </c>
      <c r="H7" s="14">
        <f t="shared" si="0"/>
        <v>81.37469745603498</v>
      </c>
      <c r="I7" s="15">
        <v>71445.77622</v>
      </c>
      <c r="J7" s="15">
        <v>0</v>
      </c>
      <c r="K7" s="15">
        <v>71445.77622</v>
      </c>
      <c r="L7" s="15">
        <v>886.74105099999997</v>
      </c>
      <c r="M7" s="15">
        <v>90.370049386769992</v>
      </c>
      <c r="N7" s="15">
        <v>0</v>
      </c>
      <c r="O7" s="15">
        <v>977.11110038676998</v>
      </c>
      <c r="P7" s="15">
        <v>1264.218102</v>
      </c>
      <c r="Q7" s="14">
        <f t="shared" si="1"/>
        <v>77.289757110816154</v>
      </c>
    </row>
    <row r="8" spans="1:17" ht="15" x14ac:dyDescent="0.2">
      <c r="A8" s="9" t="s">
        <v>21</v>
      </c>
      <c r="B8" s="10">
        <v>95755</v>
      </c>
      <c r="C8" s="10">
        <v>133905</v>
      </c>
      <c r="D8" s="10">
        <v>79635.166999999987</v>
      </c>
      <c r="E8" s="10">
        <v>11914456</v>
      </c>
      <c r="F8" s="10">
        <v>11699.948880999998</v>
      </c>
      <c r="G8" s="10">
        <v>12916.360223</v>
      </c>
      <c r="H8" s="11">
        <f t="shared" si="0"/>
        <v>90.582398438888745</v>
      </c>
      <c r="I8" s="11">
        <v>63209.987910000003</v>
      </c>
      <c r="J8" s="11">
        <v>0</v>
      </c>
      <c r="K8" s="11">
        <v>63209.987910000003</v>
      </c>
      <c r="L8" s="11">
        <v>877.56996242000025</v>
      </c>
      <c r="M8" s="11">
        <v>73.100768559999977</v>
      </c>
      <c r="N8" s="11">
        <v>0</v>
      </c>
      <c r="O8" s="11">
        <v>950.67073098000003</v>
      </c>
      <c r="P8" s="11">
        <v>1128.4691620000001</v>
      </c>
      <c r="Q8" s="11">
        <f t="shared" si="1"/>
        <v>84.244280924355465</v>
      </c>
    </row>
    <row r="9" spans="1:17" ht="15" x14ac:dyDescent="0.2">
      <c r="A9" s="12" t="s">
        <v>22</v>
      </c>
      <c r="B9" s="13">
        <v>115207</v>
      </c>
      <c r="C9" s="13">
        <v>163596</v>
      </c>
      <c r="D9" s="13">
        <v>99039.251000000004</v>
      </c>
      <c r="E9" s="13">
        <v>14914804</v>
      </c>
      <c r="F9" s="13">
        <v>15056.481735999996</v>
      </c>
      <c r="G9" s="13">
        <v>16438.449419999997</v>
      </c>
      <c r="H9" s="14">
        <f t="shared" si="0"/>
        <v>91.59307761522436</v>
      </c>
      <c r="I9" s="15">
        <v>60481.887840000003</v>
      </c>
      <c r="J9" s="15">
        <v>0</v>
      </c>
      <c r="K9" s="15">
        <v>60481.887840000003</v>
      </c>
      <c r="L9" s="15">
        <v>1125.3011659999997</v>
      </c>
      <c r="M9" s="15">
        <v>72.234873530000002</v>
      </c>
      <c r="N9" s="15">
        <v>0</v>
      </c>
      <c r="O9" s="15">
        <v>1197.5360395299999</v>
      </c>
      <c r="P9" s="15">
        <v>1434.8214310000001</v>
      </c>
      <c r="Q9" s="14">
        <f t="shared" si="1"/>
        <v>83.462374735745072</v>
      </c>
    </row>
    <row r="10" spans="1:17" ht="15" x14ac:dyDescent="0.2">
      <c r="A10" s="9" t="s">
        <v>23</v>
      </c>
      <c r="B10" s="10">
        <v>138311</v>
      </c>
      <c r="C10" s="10">
        <v>197708</v>
      </c>
      <c r="D10" s="10">
        <v>118614.7</v>
      </c>
      <c r="E10" s="10">
        <v>18090019</v>
      </c>
      <c r="F10" s="10">
        <v>18254.3001</v>
      </c>
      <c r="G10" s="10">
        <v>19510.000899999999</v>
      </c>
      <c r="H10" s="11">
        <f t="shared" si="0"/>
        <v>93.563809625452151</v>
      </c>
      <c r="I10" s="11">
        <v>74646.979319999999</v>
      </c>
      <c r="J10" s="11">
        <v>0</v>
      </c>
      <c r="K10" s="11">
        <v>74646.979319999999</v>
      </c>
      <c r="L10" s="11">
        <v>1369.0691999999999</v>
      </c>
      <c r="M10" s="11">
        <v>85.585700000000003</v>
      </c>
      <c r="N10" s="11">
        <v>0</v>
      </c>
      <c r="O10" s="11">
        <v>1454.6549</v>
      </c>
      <c r="P10" s="11">
        <v>1692.9860000000001</v>
      </c>
      <c r="Q10" s="11">
        <f t="shared" si="1"/>
        <v>85.922441177895152</v>
      </c>
    </row>
    <row r="11" spans="1:17" ht="15" x14ac:dyDescent="0.2">
      <c r="A11" s="12" t="s">
        <v>25</v>
      </c>
      <c r="B11" s="13">
        <v>156182</v>
      </c>
      <c r="C11" s="13">
        <v>232545</v>
      </c>
      <c r="D11" s="13">
        <v>137048.258</v>
      </c>
      <c r="E11" s="13">
        <v>19895114</v>
      </c>
      <c r="F11" s="13">
        <v>20503.949322</v>
      </c>
      <c r="G11" s="13">
        <v>22316.526798999999</v>
      </c>
      <c r="H11" s="14">
        <f t="shared" si="0"/>
        <v>91.877869287969943</v>
      </c>
      <c r="I11" s="15">
        <v>107404.21004000001</v>
      </c>
      <c r="J11" s="15">
        <v>0</v>
      </c>
      <c r="K11" s="15">
        <v>107404.21004000001</v>
      </c>
      <c r="L11" s="15">
        <v>1537.7947525000002</v>
      </c>
      <c r="M11" s="15">
        <v>112.8786422</v>
      </c>
      <c r="N11" s="15">
        <v>0</v>
      </c>
      <c r="O11" s="15">
        <v>1650.6733947</v>
      </c>
      <c r="P11" s="15">
        <v>1936.391615</v>
      </c>
      <c r="Q11" s="14">
        <f t="shared" si="1"/>
        <v>85.244812150252997</v>
      </c>
    </row>
    <row r="12" spans="1:17" ht="15" x14ac:dyDescent="0.2">
      <c r="A12" s="9" t="s">
        <v>29</v>
      </c>
      <c r="B12" s="10">
        <v>195976</v>
      </c>
      <c r="C12" s="10">
        <v>316834.66666666669</v>
      </c>
      <c r="D12" s="10">
        <v>194606.98099999997</v>
      </c>
      <c r="E12" s="10">
        <v>24783266</v>
      </c>
      <c r="F12" s="10">
        <v>28070.615241000003</v>
      </c>
      <c r="G12" s="10">
        <v>31324.449610000003</v>
      </c>
      <c r="H12" s="11">
        <f t="shared" si="0"/>
        <v>89.612477124063346</v>
      </c>
      <c r="I12" s="11">
        <v>156259.624093608</v>
      </c>
      <c r="J12" s="11">
        <v>0</v>
      </c>
      <c r="K12" s="11">
        <v>156259.627583608</v>
      </c>
      <c r="L12" s="11">
        <v>2105.2959753250002</v>
      </c>
      <c r="M12" s="11">
        <v>169.41628550999991</v>
      </c>
      <c r="N12" s="11">
        <v>0</v>
      </c>
      <c r="O12" s="11">
        <v>2274.7122608350001</v>
      </c>
      <c r="P12" s="11">
        <v>2778.0563829999996</v>
      </c>
      <c r="Q12" s="11">
        <f t="shared" si="1"/>
        <v>81.881428856334352</v>
      </c>
    </row>
    <row r="13" spans="1:17" ht="15" x14ac:dyDescent="0.2">
      <c r="A13" s="12" t="s">
        <v>31</v>
      </c>
      <c r="B13" s="13">
        <v>77275</v>
      </c>
      <c r="C13" s="13">
        <v>134564.31666666668</v>
      </c>
      <c r="D13" s="13">
        <v>85275.459000000003</v>
      </c>
      <c r="E13" s="13">
        <v>7735003</v>
      </c>
      <c r="F13" s="13">
        <f>9096579.679/1000</f>
        <v>9096.5796790000004</v>
      </c>
      <c r="G13" s="13">
        <f>11841246.959/1000</f>
        <v>11841.246959</v>
      </c>
      <c r="H13" s="14">
        <v>76.821129653799659</v>
      </c>
      <c r="I13" s="15">
        <v>105205.63920786942</v>
      </c>
      <c r="J13" s="15">
        <v>0</v>
      </c>
      <c r="K13" s="15">
        <v>105205.63920786942</v>
      </c>
      <c r="L13" s="15">
        <f>682386.3011/1000</f>
        <v>682.38630110000008</v>
      </c>
      <c r="M13" s="15">
        <f>163297.66425289/1000</f>
        <v>163.29766425289</v>
      </c>
      <c r="N13" s="15">
        <v>0</v>
      </c>
      <c r="O13" s="15">
        <f>845683.96535289/1000</f>
        <v>845.68396535288991</v>
      </c>
      <c r="P13" s="15">
        <f>1384654.92653/1000</f>
        <v>1384.65492653</v>
      </c>
      <c r="Q13" s="14">
        <v>61.075431080305897</v>
      </c>
    </row>
    <row r="14" spans="1:17" ht="15" x14ac:dyDescent="0.2">
      <c r="A14" s="16" t="s">
        <v>38</v>
      </c>
      <c r="B14" s="10">
        <v>89001</v>
      </c>
      <c r="C14" s="10">
        <v>162153.86666666667</v>
      </c>
      <c r="D14" s="10">
        <v>101213.81499999999</v>
      </c>
      <c r="E14" s="10">
        <v>9156053</v>
      </c>
      <c r="F14" s="10">
        <v>10305.930691</v>
      </c>
      <c r="G14" s="10">
        <v>12998.758333999998</v>
      </c>
      <c r="H14" s="11">
        <f>F14/G14*100</f>
        <v>79.283962561589078</v>
      </c>
      <c r="I14" s="11">
        <v>98683.57064999998</v>
      </c>
      <c r="J14" s="11">
        <v>0</v>
      </c>
      <c r="K14" s="11">
        <v>98683.57064999998</v>
      </c>
      <c r="L14" s="11">
        <v>772.94369161000009</v>
      </c>
      <c r="M14" s="11">
        <v>233.84522421436998</v>
      </c>
      <c r="N14" s="11">
        <v>0</v>
      </c>
      <c r="O14" s="11">
        <v>1006.78891582437</v>
      </c>
      <c r="P14" s="11">
        <v>1833.6298630020001</v>
      </c>
      <c r="Q14" s="11">
        <f>O14/P14*100</f>
        <v>54.906878216744644</v>
      </c>
    </row>
    <row r="15" spans="1:17" ht="14.25" customHeight="1" x14ac:dyDescent="0.2">
      <c r="A15" s="12" t="s">
        <v>33</v>
      </c>
      <c r="B15" s="13">
        <v>97159</v>
      </c>
      <c r="C15" s="13">
        <v>164011.43399999998</v>
      </c>
      <c r="D15" s="13">
        <v>115978.90666666668</v>
      </c>
      <c r="E15" s="13">
        <v>12660524</v>
      </c>
      <c r="F15" s="13">
        <v>15684.107806999999</v>
      </c>
      <c r="G15" s="13">
        <v>17919.523608</v>
      </c>
      <c r="H15" s="14">
        <f t="shared" ref="H15" si="2">F15/G15*100</f>
        <v>87.525249834197481</v>
      </c>
      <c r="I15" s="15">
        <v>52189.669320000001</v>
      </c>
      <c r="J15" s="15">
        <v>0</v>
      </c>
      <c r="K15" s="15">
        <v>52189.669320000001</v>
      </c>
      <c r="L15" s="15">
        <v>1176.308085525</v>
      </c>
      <c r="M15" s="15">
        <v>71.907306571700005</v>
      </c>
      <c r="N15" s="15">
        <v>0</v>
      </c>
      <c r="O15" s="15">
        <v>1248.2153920966998</v>
      </c>
      <c r="P15" s="15">
        <v>1695.1089405000002</v>
      </c>
      <c r="Q15" s="14">
        <v>73.636293354014057</v>
      </c>
    </row>
    <row r="16" spans="1:17" ht="24.75" customHeight="1" x14ac:dyDescent="0.2">
      <c r="A16" s="9" t="s">
        <v>34</v>
      </c>
      <c r="B16" s="10">
        <v>67140</v>
      </c>
      <c r="C16" s="10">
        <v>124229.63333333332</v>
      </c>
      <c r="D16" s="10">
        <v>79806.935000000012</v>
      </c>
      <c r="E16" s="10">
        <v>9695125</v>
      </c>
      <c r="F16" s="10">
        <v>11977.5022242</v>
      </c>
      <c r="G16" s="10">
        <v>13356.391087</v>
      </c>
      <c r="H16" s="11">
        <v>89.676186824582459</v>
      </c>
      <c r="I16" s="11">
        <v>42021.219670000006</v>
      </c>
      <c r="J16" s="11">
        <v>0</v>
      </c>
      <c r="K16" s="11">
        <v>42021.219670000006</v>
      </c>
      <c r="L16" s="11">
        <v>924.43132754999999</v>
      </c>
      <c r="M16" s="11">
        <v>52.067234661529994</v>
      </c>
      <c r="N16" s="11">
        <v>0</v>
      </c>
      <c r="O16" s="11">
        <v>976.49856221152993</v>
      </c>
      <c r="P16" s="11">
        <v>1317.6052865000001</v>
      </c>
      <c r="Q16" s="11">
        <v>74.111615384106145</v>
      </c>
    </row>
    <row r="17" spans="1:17" x14ac:dyDescent="0.2">
      <c r="A17" s="2" t="s">
        <v>35</v>
      </c>
      <c r="B17" s="7">
        <f t="shared" ref="B17:I17" si="3">(B16-B15)/B15</f>
        <v>-0.30896777447277146</v>
      </c>
      <c r="C17" s="7">
        <f t="shared" si="3"/>
        <v>-0.24255504446517226</v>
      </c>
      <c r="D17" s="7">
        <f t="shared" si="3"/>
        <v>-0.31188405466373303</v>
      </c>
      <c r="E17" s="7">
        <f t="shared" si="3"/>
        <v>-0.23422403369718348</v>
      </c>
      <c r="F17" s="7">
        <f t="shared" si="3"/>
        <v>-0.23632874935644718</v>
      </c>
      <c r="G17" s="7">
        <f t="shared" si="3"/>
        <v>-0.25464586117472637</v>
      </c>
      <c r="H17" s="3">
        <f t="shared" si="3"/>
        <v>2.4575045423572989E-2</v>
      </c>
      <c r="I17" s="7">
        <f t="shared" si="3"/>
        <v>-0.19483644526759372</v>
      </c>
      <c r="J17" s="5" t="s">
        <v>24</v>
      </c>
      <c r="K17" s="7">
        <f>(K16-K15)/K15</f>
        <v>-0.19483644526759372</v>
      </c>
      <c r="L17" s="7">
        <f>(L16-L15)/L15</f>
        <v>-0.21412482076290795</v>
      </c>
      <c r="M17" s="7">
        <f>(M16-M15)/M15</f>
        <v>-0.27591176552256391</v>
      </c>
      <c r="N17" s="5" t="s">
        <v>24</v>
      </c>
      <c r="O17" s="7">
        <f>(O16-O15)/O15</f>
        <v>-0.21768424873270578</v>
      </c>
      <c r="P17" s="7">
        <f>(P16-P15)/P15</f>
        <v>-0.22270170664585676</v>
      </c>
      <c r="Q17" s="3">
        <f>(Q16-Q15)/Q15</f>
        <v>6.4549966930970808E-3</v>
      </c>
    </row>
    <row r="18" spans="1:17" ht="32.25" customHeight="1" x14ac:dyDescent="0.2">
      <c r="A18" s="4" t="s">
        <v>36</v>
      </c>
      <c r="B18" s="6">
        <f t="shared" ref="B18:I18" si="4">(((B16/B6)^(1/10))-1)</f>
        <v>-5.7773059833239548E-2</v>
      </c>
      <c r="C18" s="6">
        <f t="shared" si="4"/>
        <v>-3.3174977241966941E-2</v>
      </c>
      <c r="D18" s="6">
        <f t="shared" si="4"/>
        <v>-2.9455539555916288E-2</v>
      </c>
      <c r="E18" s="6">
        <f t="shared" si="4"/>
        <v>-2.5951292173056362E-2</v>
      </c>
      <c r="F18" s="6">
        <f t="shared" si="4"/>
        <v>-1.0915152907902903E-2</v>
      </c>
      <c r="G18" s="6">
        <f t="shared" si="4"/>
        <v>-3.2021851455679262E-2</v>
      </c>
      <c r="H18" s="6">
        <f t="shared" si="4"/>
        <v>2.1804932869112115E-2</v>
      </c>
      <c r="I18" s="6">
        <f t="shared" si="4"/>
        <v>-6.2860513256256301E-2</v>
      </c>
      <c r="J18" s="6"/>
      <c r="K18" s="6">
        <f>(((K16/K6)^(1/10))-1)</f>
        <v>-6.2860513256256301E-2</v>
      </c>
      <c r="L18" s="6">
        <f>(((L16/L6)^(1/10))-1)</f>
        <v>-7.9636014930966059E-3</v>
      </c>
      <c r="M18" s="6">
        <f>(((M16/M6)^(1/10))-1)</f>
        <v>-6.7870448534949723E-2</v>
      </c>
      <c r="N18" s="6"/>
      <c r="O18" s="6">
        <f>(((O16/O6)^(1/10))-1)</f>
        <v>-1.2423054821047996E-2</v>
      </c>
      <c r="P18" s="6">
        <f>(((P16/P6)^(1/10))-1)</f>
        <v>-1.8164041277997534E-2</v>
      </c>
      <c r="Q18" s="6">
        <f>(((Q16/Q6)^(1/10))-1)</f>
        <v>5.8471951510334907E-3</v>
      </c>
    </row>
    <row r="19" spans="1:17" x14ac:dyDescent="0.2">
      <c r="A19" s="27" t="s">
        <v>27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spans="1:17" ht="12.75" customHeight="1" x14ac:dyDescent="0.2">
      <c r="A20" s="25" t="s">
        <v>37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 ht="15.75" customHeight="1" x14ac:dyDescent="0.2">
      <c r="A21" s="24" t="s">
        <v>32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2022-04-26T06:01:04Z</cp:lastPrinted>
  <dcterms:created xsi:type="dcterms:W3CDTF">2018-10-29T04:00:16Z</dcterms:created>
  <dcterms:modified xsi:type="dcterms:W3CDTF">2024-11-21T07:33:44Z</dcterms:modified>
</cp:coreProperties>
</file>