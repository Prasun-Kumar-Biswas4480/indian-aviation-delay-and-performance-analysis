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AKASA AIR\"/>
    </mc:Choice>
  </mc:AlternateContent>
  <bookViews>
    <workbookView xWindow="0" yWindow="0" windowWidth="24000" windowHeight="10725"/>
  </bookViews>
  <sheets>
    <sheet name="AKASA AIR" sheetId="1" r:id="rId1"/>
  </sheets>
  <definedNames>
    <definedName name="_xlnm._FilterDatabase" localSheetId="0" hidden="1">'AKASA AIR'!$A$6:$Q$20</definedName>
    <definedName name="_xlnm.Print_Area" localSheetId="0">'AKASA AIR'!$A$1:$Q$21</definedName>
  </definedName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P17" i="1"/>
  <c r="O17" i="1"/>
  <c r="M17" i="1"/>
  <c r="L17" i="1"/>
  <c r="K17" i="1"/>
  <c r="I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<sst xmlns="http://schemas.openxmlformats.org/spreadsheetml/2006/main" count="56" uniqueCount="39">
  <si>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</si>
  <si>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</si>
  <si>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</si>
  <si>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</si>
  <si>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</si>
  <si>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</si>
  <si>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</si>
  <si>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</si>
  <si>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</si>
  <si>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</si>
  <si>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</si>
  <si>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</si>
  <si>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</si>
  <si>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</si>
  <si>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</si>
  <si>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</si>
  <si>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</si>
  <si>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</si>
  <si>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</si>
  <si>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</si>
  <si>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</si>
  <si>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</si>
  <si>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</si>
  <si>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</si>
  <si>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</si>
  <si>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>2019-20</t>
  </si>
  <si>
    <t>* DENOTES that THE INTERNATIONAL OPERATIONS BY SCHEDULED INDIAN OPERATORS WERE CARRIED AS PER DGCA’S CIRCULAR DATED 26.03.2020 UNDER COVID-19 RESTRICTION.</t>
  </si>
  <si>
    <t>2022-23</t>
  </si>
  <si>
    <t>Note: Growth has been calculated with respect to preceeding year while Compound Annual Growth Rate (CAGR) has been calculating taking 2012-13 as a Base Year</t>
  </si>
  <si>
    <t xml:space="preserve"> तालिका- 1.06 (अकासा एयर) </t>
  </si>
  <si>
    <t>TABLE - 1.06 (AKASA AIR)</t>
  </si>
  <si>
    <t>SOURCE: ICAO ATR FORM 'A' FURNISHED BY AKASA AIR</t>
  </si>
  <si>
    <t xml:space="preserve">YEAR ON YEAR GROWTH AND CAGR FOR LAST TEN YEARS OF AKASA AIR ON TOTAL (DOMESTIC + INTERNATIONAL) SCHEDULED SERVICES (ALL AIR TRAFFIC AND OPERATING STATISTICS) </t>
  </si>
  <si>
    <t>2021-22*</t>
  </si>
  <si>
    <t>2020-21*</t>
  </si>
  <si>
    <t>2023-24</t>
  </si>
  <si>
    <t>YOY growth</t>
  </si>
  <si>
    <t>CAGR last 10 years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</si>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</sst>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0.0%"/>
    <numFmt numFmtId="166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164" fontId="4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4" fillId="6" borderId="1" xfId="3" applyFill="1" applyBorder="1" applyAlignment="1" applyProtection="1">
      <alignment horizontal="center" vertical="center" wrapText="1"/>
    </xf>
    <xf numFmtId="3" fontId="0" fillId="7" borderId="1" xfId="6" applyNumberFormat="1" applyFont="1" applyFill="1" applyBorder="1" applyAlignment="1" applyProtection="1">
      <alignment horizontal="center" vertical="center" wrapText="1"/>
    </xf>
    <xf numFmtId="166" fontId="0" fillId="7" borderId="1" xfId="6" applyNumberFormat="1" applyFont="1" applyFill="1" applyBorder="1" applyAlignment="1" applyProtection="1">
      <alignment horizontal="center" vertical="center" wrapText="1"/>
    </xf>
    <xf numFmtId="166" fontId="4" fillId="6" borderId="1" xfId="3" applyNumberFormat="1" applyFill="1" applyBorder="1" applyAlignment="1" applyProtection="1">
      <alignment horizontal="center" vertical="center" wrapText="1"/>
    </xf>
    <xf numFmtId="3" fontId="4" fillId="6" borderId="1" xfId="3" applyNumberFormat="1" applyFill="1" applyBorder="1" applyAlignment="1" applyProtection="1">
      <alignment horizontal="center" vertical="center" wrapText="1"/>
    </xf>
    <xf numFmtId="10" fontId="6" fillId="7" borderId="1" xfId="1" applyNumberFormat="1" applyFont="1" applyFill="1" applyBorder="1" applyAlignment="1" applyProtection="1">
      <alignment horizontal="center" vertical="center"/>
    </xf>
    <xf numFmtId="165" fontId="6" fillId="7" borderId="1" xfId="1" applyNumberFormat="1" applyFont="1" applyFill="1" applyBorder="1" applyAlignment="1" applyProtection="1">
      <alignment horizontal="center" vertical="center"/>
    </xf>
    <xf numFmtId="165" fontId="6" fillId="4" borderId="1" xfId="3" applyNumberFormat="1" applyFont="1" applyBorder="1" applyAlignment="1" applyProtection="1">
      <alignment horizontal="center" vertical="center"/>
    </xf>
    <xf numFmtId="0" fontId="1" fillId="0" borderId="1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20% - Accent6" xfId="6" builtinId="50"/>
    <cellStyle name="40% - Accent1" xfId="4" builtinId="31"/>
    <cellStyle name="Accent1" xfId="2" builtinId="29"/>
    <cellStyle name="Comma 2" xfId="5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topLeftCell="A10" zoomScale="115" zoomScaleNormal="100" zoomScaleSheetLayoutView="115" workbookViewId="0">
      <selection activeCell="C24" sqref="C24"/>
    </sheetView>
  </sheetViews>
  <sheetFormatPr defaultColWidth="9.140625" defaultRowHeight="15" x14ac:dyDescent="0.25"/>
  <cols>
    <col min="1" max="1" width="10.28515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8.14062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14062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x14ac:dyDescent="0.25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2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25">
      <c r="A3" s="24" t="s">
        <v>32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5" t="s">
        <v>3</v>
      </c>
      <c r="H4" s="15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5" t="s">
        <v>7</v>
      </c>
      <c r="Q4" s="15" t="s">
        <v>8</v>
      </c>
    </row>
    <row r="5" spans="1:17" ht="90" x14ac:dyDescent="0.25">
      <c r="A5" s="24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6"/>
      <c r="H5" s="16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6"/>
      <c r="Q5" s="16"/>
    </row>
    <row r="6" spans="1:17" x14ac:dyDescent="0.25">
      <c r="A6" s="6" t="s">
        <v>19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7" t="s">
        <v>20</v>
      </c>
      <c r="B7" s="8"/>
      <c r="C7" s="8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7"/>
    </row>
    <row r="8" spans="1:17" x14ac:dyDescent="0.25">
      <c r="A8" s="6" t="s">
        <v>21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7" t="s">
        <v>22</v>
      </c>
      <c r="B9" s="8"/>
      <c r="C9" s="8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7"/>
    </row>
    <row r="10" spans="1:17" x14ac:dyDescent="0.25">
      <c r="A10" s="6" t="s">
        <v>23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7" t="s">
        <v>24</v>
      </c>
      <c r="B11" s="8"/>
      <c r="C11" s="8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7"/>
    </row>
    <row r="12" spans="1:17" x14ac:dyDescent="0.25">
      <c r="A12" s="6" t="s">
        <v>25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7" t="s">
        <v>34</v>
      </c>
      <c r="B13" s="8"/>
      <c r="C13" s="8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7"/>
    </row>
    <row r="14" spans="1:17" x14ac:dyDescent="0.25">
      <c r="A14" s="6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5.75" customHeight="1" x14ac:dyDescent="0.25">
      <c r="A15" s="7" t="s">
        <v>27</v>
      </c>
      <c r="B15" s="7">
        <v>13600</v>
      </c>
      <c r="C15" s="7">
        <v>22439.944</v>
      </c>
      <c r="D15" s="7">
        <v>10125.377</v>
      </c>
      <c r="E15" s="7">
        <v>1913714</v>
      </c>
      <c r="F15" s="7">
        <v>1483.6780309999999</v>
      </c>
      <c r="G15" s="7">
        <v>1864.2063580000004</v>
      </c>
      <c r="H15" s="8">
        <v>79.587649974102263</v>
      </c>
      <c r="I15" s="8">
        <v>10956.209070000001</v>
      </c>
      <c r="J15" s="8">
        <v>0</v>
      </c>
      <c r="K15" s="8">
        <v>10956.209070000001</v>
      </c>
      <c r="L15" s="8">
        <v>120.45305503168318</v>
      </c>
      <c r="M15" s="8">
        <v>10.762023974</v>
      </c>
      <c r="N15" s="8">
        <v>0</v>
      </c>
      <c r="O15" s="8">
        <v>131.21507900568318</v>
      </c>
      <c r="P15" s="8">
        <v>207.63113928000001</v>
      </c>
      <c r="Q15" s="8">
        <v>63.196242847145243</v>
      </c>
    </row>
    <row r="16" spans="1:17" x14ac:dyDescent="0.25">
      <c r="A16" s="6" t="s">
        <v>35</v>
      </c>
      <c r="B16" s="10">
        <v>42247</v>
      </c>
      <c r="C16" s="10">
        <v>83034.25</v>
      </c>
      <c r="D16" s="10">
        <v>41210.19</v>
      </c>
      <c r="E16" s="10">
        <v>6845523</v>
      </c>
      <c r="F16" s="10">
        <v>6726.0850270000001</v>
      </c>
      <c r="G16" s="10">
        <v>7524.21666</v>
      </c>
      <c r="H16" s="9">
        <v>89.392495337846896</v>
      </c>
      <c r="I16" s="9">
        <v>43039.593000000001</v>
      </c>
      <c r="J16" s="9">
        <v>1250.5517200000002</v>
      </c>
      <c r="K16" s="9">
        <v>44290.144720000004</v>
      </c>
      <c r="L16" s="9">
        <v>552.85683275999997</v>
      </c>
      <c r="M16" s="9">
        <v>46.665391040000003</v>
      </c>
      <c r="N16" s="9">
        <v>1.4056039699999998</v>
      </c>
      <c r="O16" s="9">
        <v>600.92782777000002</v>
      </c>
      <c r="P16" s="9">
        <v>845.03989753999986</v>
      </c>
      <c r="Q16" s="9">
        <v>71.112361619772528</v>
      </c>
    </row>
    <row r="17" spans="1:17" ht="30" x14ac:dyDescent="0.25">
      <c r="A17" s="2" t="s">
        <v>36</v>
      </c>
      <c r="B17" s="13">
        <f>(B16-B15)/B15</f>
        <v>2.1063970588235295</v>
      </c>
      <c r="C17" s="13">
        <f t="shared" ref="C17:Q17" si="0">(C16-C15)/C15</f>
        <v>2.7002877547287998</v>
      </c>
      <c r="D17" s="13">
        <f t="shared" si="0"/>
        <v>3.0699906778779695</v>
      </c>
      <c r="E17" s="13">
        <f t="shared" si="0"/>
        <v>2.577087798908301</v>
      </c>
      <c r="F17" s="13">
        <f t="shared" si="0"/>
        <v>3.5333858737981139</v>
      </c>
      <c r="G17" s="13">
        <f t="shared" si="0"/>
        <v>3.0361500902036931</v>
      </c>
      <c r="H17" s="11">
        <f t="shared" si="0"/>
        <v>0.12319556321785</v>
      </c>
      <c r="I17" s="13">
        <f t="shared" si="0"/>
        <v>2.9283289251799571</v>
      </c>
      <c r="J17" s="13"/>
      <c r="K17" s="13">
        <f t="shared" si="0"/>
        <v>3.0424698394332483</v>
      </c>
      <c r="L17" s="13">
        <f t="shared" si="0"/>
        <v>3.5898116292241835</v>
      </c>
      <c r="M17" s="13">
        <f t="shared" si="0"/>
        <v>3.3361166219977796</v>
      </c>
      <c r="N17" s="13"/>
      <c r="O17" s="13">
        <f t="shared" si="0"/>
        <v>3.5797162363021759</v>
      </c>
      <c r="P17" s="13">
        <f t="shared" si="0"/>
        <v>3.0699092653940752</v>
      </c>
      <c r="Q17" s="12">
        <f t="shared" si="0"/>
        <v>0.1252624905530263</v>
      </c>
    </row>
    <row r="18" spans="1:17" ht="30" x14ac:dyDescent="0.25">
      <c r="A18" s="3" t="s">
        <v>37</v>
      </c>
      <c r="B18" s="4" t="s">
        <v>38</v>
      </c>
      <c r="C18" s="4" t="s">
        <v>38</v>
      </c>
      <c r="D18" s="4" t="s">
        <v>38</v>
      </c>
      <c r="E18" s="4" t="s">
        <v>38</v>
      </c>
      <c r="F18" s="4" t="s">
        <v>38</v>
      </c>
      <c r="G18" s="4" t="s">
        <v>38</v>
      </c>
      <c r="H18" s="4" t="s">
        <v>38</v>
      </c>
      <c r="I18" s="4" t="s">
        <v>38</v>
      </c>
      <c r="J18" s="4" t="s">
        <v>38</v>
      </c>
      <c r="K18" s="4" t="s">
        <v>38</v>
      </c>
      <c r="L18" s="4" t="s">
        <v>38</v>
      </c>
      <c r="M18" s="4" t="s">
        <v>38</v>
      </c>
      <c r="N18" s="4" t="s">
        <v>38</v>
      </c>
      <c r="O18" s="4" t="s">
        <v>38</v>
      </c>
      <c r="P18" s="4" t="s">
        <v>38</v>
      </c>
      <c r="Q18" s="4" t="s">
        <v>38</v>
      </c>
    </row>
    <row r="19" spans="1:17" x14ac:dyDescent="0.25">
      <c r="A19" s="17" t="s">
        <v>31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x14ac:dyDescent="0.25">
      <c r="A20" s="19" t="s">
        <v>28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17" x14ac:dyDescent="0.25">
      <c r="A21" s="14" t="s">
        <v>26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P4:P5"/>
    <mergeCell ref="Q4:Q5"/>
    <mergeCell ref="A19:Q19"/>
    <mergeCell ref="A20:Q20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AKASA AIR</vt:lpstr>
      <vt:lpstr>'AKASA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2020-05-11T09:32:17Z</cp:lastPrinted>
  <dcterms:created xsi:type="dcterms:W3CDTF">2018-10-29T04:00:16Z</dcterms:created>
  <dcterms:modified xsi:type="dcterms:W3CDTF">2024-11-08T06:47:06Z</dcterms:modified>
</cp:coreProperties>
</file>