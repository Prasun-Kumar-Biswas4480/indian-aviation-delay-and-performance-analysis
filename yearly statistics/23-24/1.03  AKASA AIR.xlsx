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KASA AIR\"/>
    </mc:Choice>
  </mc:AlternateContent>
  <bookViews>
    <workbookView xWindow="0" yWindow="0" windowWidth="24000" windowHeight="11025"/>
  </bookViews>
  <sheets>
    <sheet name="AKASA AIR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Q8" i="1"/>
  <c r="Q7" i="1"/>
  <c r="Q6" i="1"/>
  <c r="H9" i="1"/>
  <c r="H8" i="1"/>
  <c r="H7" i="1"/>
  <c r="H6" i="1"/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<sst xmlns="http://schemas.openxmlformats.org/spreadsheetml/2006/main" count="26" uniqueCount="24">
  <si>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</si>
  <si>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</si>
  <si>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</si>
  <si>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</si>
  <si>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</si>
  <si>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</si>
  <si>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</si>
  <si>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</si>
  <si>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</si>
  <si>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</si>
  <si>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</si>
  <si>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</si>
  <si>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</si>
  <si>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</si>
  <si>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</si>
  <si>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</si>
  <si>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</si>
  <si>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</si>
  <si>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</si>
  <si>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1.03 (AKASA AIR)</t>
  </si>
  <si>
    <t>SOURCE:-  ICAO ATR FORM 'A' FURNISHED BY AKASA AIR</t>
  </si>
  <si>
    <t xml:space="preserve">तालिका 1.03 (अकासा एयर) </t>
  </si>
  <si>
    <t>2023-24</t>
  </si>
  <si>
    <t>MONTHLY TRAFFIC AND OPERATING STATISTICS OF AKASA AIR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</si>
</sst>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2" fillId="3" borderId="1" xfId="3" applyNumberFormat="1" applyFont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B9" zoomScale="145" zoomScaleNormal="98" zoomScaleSheetLayoutView="145" workbookViewId="0">
      <selection activeCell="H18" sqref="H18"/>
    </sheetView>
  </sheetViews>
  <sheetFormatPr defaultRowHeight="18.600000000000001" customHeight="1" x14ac:dyDescent="0.25"/>
  <cols>
    <col min="1" max="1" width="13.7109375" customWidth="1"/>
    <col min="2" max="2" width="8.42578125" customWidth="1"/>
    <col min="3" max="3" width="8.28515625" customWidth="1"/>
    <col min="4" max="4" width="8.5703125" customWidth="1"/>
    <col min="5" max="5" width="12" customWidth="1"/>
    <col min="6" max="6" width="8.5703125" customWidth="1"/>
    <col min="7" max="7" width="9" customWidth="1"/>
    <col min="8" max="8" width="8.140625" customWidth="1"/>
    <col min="9" max="9" width="10.7109375" customWidth="1"/>
    <col min="10" max="10" width="9" customWidth="1"/>
    <col min="11" max="11" width="10.28515625" customWidth="1"/>
    <col min="12" max="17" width="8.140625" customWidth="1"/>
  </cols>
  <sheetData>
    <row r="1" spans="1:17" ht="18.600000000000001" customHeight="1" x14ac:dyDescent="0.25">
      <c r="A1" s="14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25">
      <c r="A2" s="15" t="s">
        <v>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600000000000001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.600000000000001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1" t="s">
        <v>3</v>
      </c>
      <c r="H4" s="11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1" t="s">
        <v>7</v>
      </c>
      <c r="Q4" s="11" t="s">
        <v>8</v>
      </c>
    </row>
    <row r="5" spans="1:17" ht="100.9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2"/>
      <c r="H5" s="12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2"/>
      <c r="Q5" s="12"/>
    </row>
    <row r="6" spans="1:17" ht="18.600000000000001" customHeight="1" x14ac:dyDescent="0.25">
      <c r="A6" s="9">
        <v>45017</v>
      </c>
      <c r="B6" s="5">
        <v>3322</v>
      </c>
      <c r="C6" s="5">
        <v>5869.4833333333336</v>
      </c>
      <c r="D6" s="5">
        <v>2820</v>
      </c>
      <c r="E6" s="5">
        <v>513025</v>
      </c>
      <c r="F6" s="1">
        <v>429.32600000000002</v>
      </c>
      <c r="G6" s="1">
        <v>505.63200000000001</v>
      </c>
      <c r="H6" s="1">
        <f t="shared" ref="H6:H9" si="0">F6/G6*100</f>
        <v>84.908787418517818</v>
      </c>
      <c r="I6" s="1">
        <v>2605</v>
      </c>
      <c r="J6" s="1"/>
      <c r="K6" s="1">
        <v>2605</v>
      </c>
      <c r="L6" s="1">
        <v>34.624000000000002</v>
      </c>
      <c r="M6" s="1">
        <v>2.5609999999999999</v>
      </c>
      <c r="N6" s="1"/>
      <c r="O6" s="1">
        <v>37.185000000000002</v>
      </c>
      <c r="P6" s="1">
        <v>57.825000000000003</v>
      </c>
      <c r="Q6" s="1">
        <f t="shared" ref="Q6:Q9" si="1">O6/P6*100</f>
        <v>64.306095979247729</v>
      </c>
    </row>
    <row r="7" spans="1:17" ht="18.600000000000001" customHeight="1" x14ac:dyDescent="0.25">
      <c r="A7" s="10">
        <v>45047</v>
      </c>
      <c r="B7" s="6">
        <v>3820</v>
      </c>
      <c r="C7" s="6">
        <v>6932.0666666666666</v>
      </c>
      <c r="D7" s="6">
        <v>3362.3539999999998</v>
      </c>
      <c r="E7" s="6">
        <v>629045</v>
      </c>
      <c r="F7" s="2">
        <v>551.08699999999999</v>
      </c>
      <c r="G7" s="2">
        <v>604.66999999999996</v>
      </c>
      <c r="H7" s="2">
        <f t="shared" si="0"/>
        <v>91.138472224519163</v>
      </c>
      <c r="I7" s="2">
        <v>3884.5520999999999</v>
      </c>
      <c r="J7" s="2"/>
      <c r="K7" s="2">
        <v>3884.5520999999999</v>
      </c>
      <c r="L7" s="2">
        <v>45.090089999999996</v>
      </c>
      <c r="M7" s="2">
        <v>3.84483</v>
      </c>
      <c r="N7" s="2"/>
      <c r="O7" s="2">
        <v>48.934919999999998</v>
      </c>
      <c r="P7" s="2">
        <v>68.948431159999998</v>
      </c>
      <c r="Q7" s="2">
        <f t="shared" si="1"/>
        <v>70.973217485460765</v>
      </c>
    </row>
    <row r="8" spans="1:17" ht="18.600000000000001" customHeight="1" x14ac:dyDescent="0.25">
      <c r="A8" s="9">
        <v>45078</v>
      </c>
      <c r="B8" s="5">
        <v>3787</v>
      </c>
      <c r="C8" s="5">
        <v>7245.083333333333</v>
      </c>
      <c r="D8" s="5">
        <v>3593.9969999999998</v>
      </c>
      <c r="E8" s="5">
        <v>618053</v>
      </c>
      <c r="F8" s="1">
        <v>588.78642500000001</v>
      </c>
      <c r="G8" s="1">
        <v>646.24645999999996</v>
      </c>
      <c r="H8" s="1">
        <f t="shared" si="0"/>
        <v>91.108649941386147</v>
      </c>
      <c r="I8" s="1">
        <v>3723.6190000000001</v>
      </c>
      <c r="J8" s="1"/>
      <c r="K8" s="1">
        <v>3723.6190000000001</v>
      </c>
      <c r="L8" s="1">
        <v>48.794427999999996</v>
      </c>
      <c r="M8" s="1">
        <v>3.8857780000000006</v>
      </c>
      <c r="N8" s="1"/>
      <c r="O8" s="1">
        <v>52.680205999999998</v>
      </c>
      <c r="P8" s="1">
        <v>73.698501999999991</v>
      </c>
      <c r="Q8" s="1">
        <f t="shared" si="1"/>
        <v>71.48070119525633</v>
      </c>
    </row>
    <row r="9" spans="1:17" ht="18.600000000000001" customHeight="1" x14ac:dyDescent="0.25">
      <c r="A9" s="10">
        <v>45108</v>
      </c>
      <c r="B9" s="6">
        <v>4017</v>
      </c>
      <c r="C9" s="6">
        <v>7878.583333333333</v>
      </c>
      <c r="D9" s="6">
        <v>3861.915</v>
      </c>
      <c r="E9" s="6">
        <v>624086</v>
      </c>
      <c r="F9" s="2">
        <v>601.63969399999996</v>
      </c>
      <c r="G9" s="2">
        <v>694.44568500000003</v>
      </c>
      <c r="H9" s="2">
        <f t="shared" si="0"/>
        <v>86.635961169518964</v>
      </c>
      <c r="I9" s="2">
        <v>4263.38735</v>
      </c>
      <c r="J9" s="2"/>
      <c r="K9" s="2">
        <v>4263.38735</v>
      </c>
      <c r="L9" s="2">
        <v>49.39662869</v>
      </c>
      <c r="M9" s="2">
        <v>4.6113900000000001</v>
      </c>
      <c r="N9" s="2"/>
      <c r="O9" s="2">
        <v>54.00801869</v>
      </c>
      <c r="P9" s="2">
        <v>79.19242903</v>
      </c>
      <c r="Q9" s="2">
        <f t="shared" si="1"/>
        <v>68.198462089779383</v>
      </c>
    </row>
    <row r="10" spans="1:17" ht="18.600000000000001" customHeight="1" x14ac:dyDescent="0.25">
      <c r="A10" s="9">
        <v>45139</v>
      </c>
      <c r="B10" s="5">
        <v>3369</v>
      </c>
      <c r="C10" s="5">
        <v>6822.75</v>
      </c>
      <c r="D10" s="5">
        <v>3460.018</v>
      </c>
      <c r="E10" s="5">
        <v>526972</v>
      </c>
      <c r="F10" s="1">
        <v>544.49800000000005</v>
      </c>
      <c r="G10" s="1">
        <v>623.91800000000001</v>
      </c>
      <c r="H10" s="1">
        <f t="shared" ref="H10:H17" si="2">F10/G10*100</f>
        <v>87.270763145156906</v>
      </c>
      <c r="I10" s="1">
        <v>3751.8700000000003</v>
      </c>
      <c r="J10" s="1"/>
      <c r="K10" s="1">
        <v>3751.8700000000003</v>
      </c>
      <c r="L10" s="1">
        <v>44.600169999999999</v>
      </c>
      <c r="M10" s="1">
        <v>4.2439799999999996</v>
      </c>
      <c r="N10" s="1"/>
      <c r="O10" s="1">
        <v>48.844149999999992</v>
      </c>
      <c r="P10" s="1">
        <v>70.951099999999997</v>
      </c>
      <c r="Q10" s="1">
        <f t="shared" ref="Q10:Q17" si="3">O10/P10*100</f>
        <v>68.841991174203059</v>
      </c>
    </row>
    <row r="11" spans="1:17" ht="18.600000000000001" customHeight="1" x14ac:dyDescent="0.25">
      <c r="A11" s="10">
        <v>45170</v>
      </c>
      <c r="B11" s="6">
        <v>3224</v>
      </c>
      <c r="C11" s="2">
        <v>6568.6166666666668</v>
      </c>
      <c r="D11" s="6">
        <v>3270</v>
      </c>
      <c r="E11" s="6">
        <v>517170</v>
      </c>
      <c r="F11" s="2">
        <v>527.077</v>
      </c>
      <c r="G11" s="2">
        <v>598.46799999999996</v>
      </c>
      <c r="H11" s="2">
        <f t="shared" si="2"/>
        <v>88.071041392355156</v>
      </c>
      <c r="I11" s="2">
        <v>3240.4399999999996</v>
      </c>
      <c r="J11" s="2">
        <v>43.419999999999995</v>
      </c>
      <c r="K11" s="2">
        <v>3283.8599999999997</v>
      </c>
      <c r="L11" s="2">
        <v>43.081000000000003</v>
      </c>
      <c r="M11" s="2">
        <v>3.6869999999999998</v>
      </c>
      <c r="N11" s="2">
        <v>4.8420000000000005E-2</v>
      </c>
      <c r="O11" s="2">
        <v>46.816420000000001</v>
      </c>
      <c r="P11" s="2">
        <v>67.049000000000007</v>
      </c>
      <c r="Q11" s="2">
        <f t="shared" si="3"/>
        <v>69.824188280212979</v>
      </c>
    </row>
    <row r="12" spans="1:17" ht="18.600000000000001" customHeight="1" x14ac:dyDescent="0.25">
      <c r="A12" s="9">
        <v>45200</v>
      </c>
      <c r="B12" s="5">
        <v>3330</v>
      </c>
      <c r="C12" s="1">
        <v>6680.45</v>
      </c>
      <c r="D12" s="5">
        <v>3381</v>
      </c>
      <c r="E12" s="5">
        <v>524439</v>
      </c>
      <c r="F12" s="1">
        <v>540.64499999999998</v>
      </c>
      <c r="G12" s="1">
        <v>624.19500000000005</v>
      </c>
      <c r="H12" s="1">
        <f t="shared" si="2"/>
        <v>86.614759810636087</v>
      </c>
      <c r="I12" s="1">
        <v>3772.9010499999999</v>
      </c>
      <c r="J12" s="1">
        <v>148.13694000000001</v>
      </c>
      <c r="K12" s="1">
        <v>3921.0379899999998</v>
      </c>
      <c r="L12" s="1">
        <v>44.25712</v>
      </c>
      <c r="M12" s="1">
        <v>4.2972299999999999</v>
      </c>
      <c r="N12" s="1">
        <v>0.16844000000000001</v>
      </c>
      <c r="O12" s="1">
        <v>48.72279000000001</v>
      </c>
      <c r="P12" s="1">
        <v>69.336799999999997</v>
      </c>
      <c r="Q12" s="1">
        <f t="shared" si="3"/>
        <v>70.269741320626295</v>
      </c>
    </row>
    <row r="13" spans="1:17" ht="18.600000000000001" customHeight="1" x14ac:dyDescent="0.25">
      <c r="A13" s="10">
        <v>45231</v>
      </c>
      <c r="B13" s="6">
        <v>3270</v>
      </c>
      <c r="C13" s="2">
        <v>6634.3166666666666</v>
      </c>
      <c r="D13" s="6">
        <v>3299</v>
      </c>
      <c r="E13" s="6">
        <v>536309</v>
      </c>
      <c r="F13" s="2">
        <v>544.84100000000001</v>
      </c>
      <c r="G13" s="2">
        <v>609.38099999999997</v>
      </c>
      <c r="H13" s="2">
        <f t="shared" si="2"/>
        <v>89.408924794176386</v>
      </c>
      <c r="I13" s="2">
        <v>3274.6509299999998</v>
      </c>
      <c r="J13" s="2">
        <v>216.51193000000009</v>
      </c>
      <c r="K13" s="2">
        <v>3491.1628599999999</v>
      </c>
      <c r="L13" s="2">
        <v>44.968129999999995</v>
      </c>
      <c r="M13" s="2">
        <v>3.6759599999999999</v>
      </c>
      <c r="N13" s="2">
        <v>0.25033</v>
      </c>
      <c r="O13" s="2">
        <v>48.894419999999997</v>
      </c>
      <c r="P13" s="2">
        <v>67.640169999999998</v>
      </c>
      <c r="Q13" s="2">
        <f t="shared" si="3"/>
        <v>72.286069062215546</v>
      </c>
    </row>
    <row r="14" spans="1:17" ht="18.600000000000001" customHeight="1" x14ac:dyDescent="0.25">
      <c r="A14" s="9">
        <v>45261</v>
      </c>
      <c r="B14" s="5">
        <v>3518</v>
      </c>
      <c r="C14" s="1">
        <v>7132.45</v>
      </c>
      <c r="D14" s="5">
        <v>3576</v>
      </c>
      <c r="E14" s="5">
        <v>602655</v>
      </c>
      <c r="F14" s="1">
        <v>618.95399999999995</v>
      </c>
      <c r="G14" s="1">
        <v>659.20600000000002</v>
      </c>
      <c r="H14" s="1">
        <f t="shared" si="2"/>
        <v>93.893866257285268</v>
      </c>
      <c r="I14" s="1">
        <v>3638.46</v>
      </c>
      <c r="J14" s="1">
        <v>251.22</v>
      </c>
      <c r="K14" s="1">
        <v>3889.68</v>
      </c>
      <c r="L14" s="1">
        <v>51.369450000000001</v>
      </c>
      <c r="M14" s="1">
        <v>4.1163500000000006</v>
      </c>
      <c r="N14" s="1">
        <v>0.27973000000000003</v>
      </c>
      <c r="O14" s="1">
        <v>55.765529999999998</v>
      </c>
      <c r="P14" s="1">
        <v>73.332940000000008</v>
      </c>
      <c r="Q14" s="1">
        <f t="shared" si="3"/>
        <v>76.044312419493878</v>
      </c>
    </row>
    <row r="15" spans="1:17" ht="18.600000000000001" customHeight="1" x14ac:dyDescent="0.25">
      <c r="A15" s="10">
        <v>45292</v>
      </c>
      <c r="B15" s="6">
        <v>3542</v>
      </c>
      <c r="C15" s="2">
        <v>7145.6833333333334</v>
      </c>
      <c r="D15" s="6">
        <v>3581.4720000000002</v>
      </c>
      <c r="E15" s="6">
        <v>595767</v>
      </c>
      <c r="F15" s="2">
        <v>610.07852600000001</v>
      </c>
      <c r="G15" s="2">
        <v>660.33304399999997</v>
      </c>
      <c r="H15" s="2">
        <f t="shared" si="2"/>
        <v>92.389519431652133</v>
      </c>
      <c r="I15" s="2">
        <v>3616.4690599999999</v>
      </c>
      <c r="J15" s="2">
        <v>239.45639</v>
      </c>
      <c r="K15" s="2">
        <v>3855.9254499999997</v>
      </c>
      <c r="L15" s="2">
        <v>50.592485930000002</v>
      </c>
      <c r="M15" s="2">
        <v>3.99410987</v>
      </c>
      <c r="N15" s="2">
        <v>0.25906353000000004</v>
      </c>
      <c r="O15" s="2">
        <v>54.845659330000004</v>
      </c>
      <c r="P15" s="2">
        <v>73.441664869999997</v>
      </c>
      <c r="Q15" s="2">
        <f t="shared" si="3"/>
        <v>74.679215710976848</v>
      </c>
    </row>
    <row r="16" spans="1:17" ht="18.600000000000001" customHeight="1" x14ac:dyDescent="0.25">
      <c r="A16" s="9">
        <v>45323</v>
      </c>
      <c r="B16" s="5">
        <v>3378</v>
      </c>
      <c r="C16" s="1">
        <v>6817.0333333333338</v>
      </c>
      <c r="D16" s="5">
        <v>3350.3150000000001</v>
      </c>
      <c r="E16" s="5">
        <v>567507</v>
      </c>
      <c r="F16" s="1">
        <v>570.49719400000004</v>
      </c>
      <c r="G16" s="1">
        <v>619.66566</v>
      </c>
      <c r="H16" s="1">
        <f t="shared" si="2"/>
        <v>92.065323419729282</v>
      </c>
      <c r="I16" s="1">
        <v>3561.7579000000001</v>
      </c>
      <c r="J16" s="1">
        <v>183.49597</v>
      </c>
      <c r="K16" s="1">
        <v>3745.25387</v>
      </c>
      <c r="L16" s="1">
        <v>46.719657300000001</v>
      </c>
      <c r="M16" s="1">
        <v>3.8107639</v>
      </c>
      <c r="N16" s="1">
        <v>0.20567089999999999</v>
      </c>
      <c r="O16" s="1">
        <v>50.736092099999993</v>
      </c>
      <c r="P16" s="1">
        <v>68.692496300000002</v>
      </c>
      <c r="Q16" s="1">
        <f t="shared" si="3"/>
        <v>73.859729712574136</v>
      </c>
    </row>
    <row r="17" spans="1:17" ht="18.600000000000001" customHeight="1" x14ac:dyDescent="0.25">
      <c r="A17" s="10">
        <v>45352</v>
      </c>
      <c r="B17" s="6">
        <v>3670</v>
      </c>
      <c r="C17" s="2">
        <v>7307.7333333333336</v>
      </c>
      <c r="D17" s="6">
        <v>3654.1190000000001</v>
      </c>
      <c r="E17" s="6">
        <v>590495</v>
      </c>
      <c r="F17" s="2">
        <v>598.65518800000007</v>
      </c>
      <c r="G17" s="2">
        <v>678.05581099999995</v>
      </c>
      <c r="H17" s="2">
        <f t="shared" si="2"/>
        <v>88.289957594655903</v>
      </c>
      <c r="I17" s="2">
        <v>3706.4856100000002</v>
      </c>
      <c r="J17" s="2">
        <v>168.31048999999999</v>
      </c>
      <c r="K17" s="2">
        <v>3874.7961</v>
      </c>
      <c r="L17" s="2">
        <v>49.36367284</v>
      </c>
      <c r="M17" s="2">
        <v>3.9369992699999998</v>
      </c>
      <c r="N17" s="2">
        <v>0.19394954</v>
      </c>
      <c r="O17" s="2">
        <v>53.494621649999999</v>
      </c>
      <c r="P17" s="2">
        <v>74.931364180000003</v>
      </c>
      <c r="Q17" s="2">
        <f t="shared" si="3"/>
        <v>71.391495717995085</v>
      </c>
    </row>
    <row r="18" spans="1:17" ht="18.600000000000001" customHeight="1" x14ac:dyDescent="0.25">
      <c r="A18" s="3" t="s">
        <v>22</v>
      </c>
      <c r="B18" s="7">
        <f>SUM(B6:B17)</f>
        <v>42247</v>
      </c>
      <c r="C18" s="7">
        <f t="shared" ref="C18:G18" si="4">SUM(C6:C17)</f>
        <v>83034.25</v>
      </c>
      <c r="D18" s="7">
        <f t="shared" si="4"/>
        <v>41210.19</v>
      </c>
      <c r="E18" s="7">
        <f t="shared" si="4"/>
        <v>6845523</v>
      </c>
      <c r="F18" s="8">
        <f t="shared" si="4"/>
        <v>6726.0850270000001</v>
      </c>
      <c r="G18" s="8">
        <f t="shared" si="4"/>
        <v>7524.21666</v>
      </c>
      <c r="H18" s="8">
        <f t="shared" ref="H18" si="5">F18/G18*100</f>
        <v>89.392495337846896</v>
      </c>
      <c r="I18" s="8">
        <f>SUM(I6:I17)</f>
        <v>43039.593000000001</v>
      </c>
      <c r="J18" s="8">
        <f t="shared" ref="J18:P18" si="6">SUM(J6:J17)</f>
        <v>1250.5517200000002</v>
      </c>
      <c r="K18" s="8">
        <f t="shared" si="6"/>
        <v>44290.144720000004</v>
      </c>
      <c r="L18" s="8">
        <f t="shared" si="6"/>
        <v>552.85683275999997</v>
      </c>
      <c r="M18" s="8">
        <f t="shared" si="6"/>
        <v>46.665391040000003</v>
      </c>
      <c r="N18" s="8">
        <f t="shared" si="6"/>
        <v>1.4056039699999998</v>
      </c>
      <c r="O18" s="8">
        <f t="shared" si="6"/>
        <v>600.92782777000002</v>
      </c>
      <c r="P18" s="8">
        <f t="shared" si="6"/>
        <v>845.03989753999986</v>
      </c>
      <c r="Q18" s="8">
        <f t="shared" ref="Q18" si="7">O18/P18*100</f>
        <v>71.112361619772528</v>
      </c>
    </row>
    <row r="19" spans="1:17" ht="18.600000000000001" customHeight="1" x14ac:dyDescent="0.25">
      <c r="A19" s="13" t="s">
        <v>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2022-04-25T12:12:49Z</cp:lastPrinted>
  <dcterms:created xsi:type="dcterms:W3CDTF">2020-06-03T10:38:16Z</dcterms:created>
  <dcterms:modified xsi:type="dcterms:W3CDTF">2025-01-24T06:44:13Z</dcterms:modified>
</cp:coreProperties>
</file>