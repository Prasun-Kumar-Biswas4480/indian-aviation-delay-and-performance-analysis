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Report 2023-24\01 Airline Wise Air Transport Operating and Traffic Statistics\SPICEJET\"/>
    </mc:Choice>
  </mc:AlternateContent>
  <bookViews>
    <workbookView xWindow="0" yWindow="0" windowWidth="10740" windowHeight="6210"/>
  </bookViews>
  <sheets>
    <sheet name="spicejet" sheetId="1" r:id="rId1"/>
  </sheets>
  <definedNames>
    <definedName name="_xlnm.Print_Area" localSheetId="0">spicejet!$A$1:$G$18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  <c r="G14" i="1" l="1"/>
  <c r="D14" i="1"/>
  <c r="D6" i="1" l="1"/>
  <c r="D7" i="1"/>
  <c r="D8" i="1"/>
  <c r="D9" i="1"/>
  <c r="D10" i="1"/>
  <c r="D11" i="1"/>
  <c r="D12" i="1"/>
  <c r="D13" i="1"/>
  <c r="G6" i="1"/>
  <c r="G7" i="1"/>
  <c r="G8" i="1"/>
  <c r="G9" i="1"/>
  <c r="G10" i="1"/>
  <c r="G11" i="1"/>
  <c r="G12" i="1"/>
  <c r="G13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<sst xmlns="http://schemas.openxmlformats.org/spreadsheetml/2006/main" count="25" uniqueCount="22">
  <si>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</si>
  <si>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</si>
  <si>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</si>
  <si>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</si>
  <si>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</si>
  <si>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</si>
  <si>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2014-15</t>
  </si>
  <si>
    <t>2015-16</t>
  </si>
  <si>
    <t>2016-17</t>
  </si>
  <si>
    <t>2017-18</t>
  </si>
  <si>
    <t>SOURCE : UPLIFT &amp; DISCHARGE STATISTICS FURNISHED BY SPICEJET</t>
  </si>
  <si>
    <t>This table does not include the passengers and freight carried by SPICEJET entirely outside the Indian territory.</t>
  </si>
  <si>
    <t>2018-19</t>
  </si>
  <si>
    <t xml:space="preserve"> तालिका  - 1.08 (स्पाइस जेट) </t>
  </si>
  <si>
    <t>TABLE - 1.08 (SPICEJET)</t>
  </si>
  <si>
    <t xml:space="preserve">   INTERNATIONAL TRAFFIC CARRIED TO AND FROM INDIA ON SCHEDULED SERVICES OF SPICEJET FOR LAST TEN YEARS</t>
  </si>
  <si>
    <t>2022-23</t>
  </si>
  <si>
    <t>2023-24</t>
  </si>
  <si>
    <t>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</si>
  <si>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t>2021-22</t>
  </si>
  <si>
    <t>2020-21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</si>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</sst>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49" fontId="5" fillId="2" borderId="2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1"/>
  <sheetViews>
    <sheetView tabSelected="1" view="pageBreakPreview" topLeftCell="A5" zoomScaleNormal="100" zoomScaleSheetLayoutView="100" workbookViewId="0">
      <selection activeCell="I10" sqref="I10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4" t="s">
        <v>13</v>
      </c>
      <c r="B1" s="15"/>
      <c r="C1" s="15"/>
      <c r="D1" s="15"/>
      <c r="E1" s="15"/>
      <c r="F1" s="15"/>
      <c r="G1" s="15"/>
    </row>
    <row r="2" spans="1:7" ht="26.25" customHeight="1">
      <c r="A2" s="16" t="s">
        <v>14</v>
      </c>
      <c r="B2" s="17"/>
      <c r="C2" s="17"/>
      <c r="D2" s="17"/>
      <c r="E2" s="17"/>
      <c r="F2" s="17"/>
      <c r="G2" s="17"/>
    </row>
    <row r="3" spans="1:7" ht="31.5" customHeight="1">
      <c r="A3" s="18" t="s">
        <v>15</v>
      </c>
      <c r="B3" s="18"/>
      <c r="C3" s="18"/>
      <c r="D3" s="18"/>
      <c r="E3" s="18"/>
      <c r="F3" s="18"/>
      <c r="G3" s="18"/>
    </row>
    <row r="4" spans="1:7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</row>
    <row r="5" spans="1:7" ht="22.5" customHeight="1">
      <c r="A5" s="19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7" ht="26.25" customHeight="1">
      <c r="A6" s="4" t="s">
        <v>6</v>
      </c>
      <c r="B6" s="2">
        <v>478377</v>
      </c>
      <c r="C6" s="2">
        <v>505593</v>
      </c>
      <c r="D6" s="2">
        <f t="shared" ref="D6:D15" si="0">SUM(B6:C6)</f>
        <v>983970</v>
      </c>
      <c r="E6" s="3">
        <v>195.58</v>
      </c>
      <c r="F6" s="3">
        <v>2930.1885000000002</v>
      </c>
      <c r="G6" s="3">
        <f t="shared" ref="G6:G15" si="1">SUM(E6:F6)</f>
        <v>3125.7685000000001</v>
      </c>
    </row>
    <row r="7" spans="1:7" ht="26.25" customHeight="1">
      <c r="A7" s="4" t="s">
        <v>7</v>
      </c>
      <c r="B7" s="2">
        <v>597047</v>
      </c>
      <c r="C7" s="2">
        <v>646543</v>
      </c>
      <c r="D7" s="2">
        <f t="shared" si="0"/>
        <v>1243590</v>
      </c>
      <c r="E7" s="3">
        <v>442.45060000000001</v>
      </c>
      <c r="F7" s="3">
        <v>3815.5390000000002</v>
      </c>
      <c r="G7" s="3">
        <f t="shared" si="1"/>
        <v>4257.9895999999999</v>
      </c>
    </row>
    <row r="8" spans="1:7" ht="26.25" customHeight="1">
      <c r="A8" s="4" t="s">
        <v>8</v>
      </c>
      <c r="B8" s="2">
        <v>825596</v>
      </c>
      <c r="C8" s="2">
        <v>853065</v>
      </c>
      <c r="D8" s="2">
        <f t="shared" si="0"/>
        <v>1678661</v>
      </c>
      <c r="E8" s="3">
        <v>1091.90428000511</v>
      </c>
      <c r="F8" s="3">
        <v>5413.9569604405497</v>
      </c>
      <c r="G8" s="3">
        <f t="shared" si="1"/>
        <v>6505.8612404456599</v>
      </c>
    </row>
    <row r="9" spans="1:7" ht="26.25" customHeight="1">
      <c r="A9" s="4" t="s">
        <v>9</v>
      </c>
      <c r="B9" s="2">
        <v>970824</v>
      </c>
      <c r="C9" s="2">
        <v>988380</v>
      </c>
      <c r="D9" s="2">
        <f t="shared" si="0"/>
        <v>1959204</v>
      </c>
      <c r="E9" s="3">
        <v>1343.9179998341299</v>
      </c>
      <c r="F9" s="3">
        <v>7168.7546688978646</v>
      </c>
      <c r="G9" s="3">
        <f t="shared" si="1"/>
        <v>8512.6726687319951</v>
      </c>
    </row>
    <row r="10" spans="1:7" ht="26.25" customHeight="1">
      <c r="A10" s="4" t="s">
        <v>12</v>
      </c>
      <c r="B10" s="2">
        <v>1121128</v>
      </c>
      <c r="C10" s="2">
        <v>1118154</v>
      </c>
      <c r="D10" s="2">
        <f t="shared" si="0"/>
        <v>2239282</v>
      </c>
      <c r="E10" s="3">
        <v>5623.9387727350004</v>
      </c>
      <c r="F10" s="3">
        <v>12805.990769999993</v>
      </c>
      <c r="G10" s="3">
        <f t="shared" si="1"/>
        <v>18429.929542734993</v>
      </c>
    </row>
    <row r="11" spans="1:7" ht="26.25" customHeight="1">
      <c r="A11" s="4" t="s">
        <v>21</v>
      </c>
      <c r="B11" s="2">
        <v>1401504</v>
      </c>
      <c r="C11" s="2">
        <v>1392045</v>
      </c>
      <c r="D11" s="2">
        <f t="shared" si="0"/>
        <v>2793549</v>
      </c>
      <c r="E11" s="3">
        <v>6691.8383400000002</v>
      </c>
      <c r="F11" s="3">
        <v>18297.791987555007</v>
      </c>
      <c r="G11" s="3">
        <f t="shared" si="1"/>
        <v>24989.630327555009</v>
      </c>
    </row>
    <row r="12" spans="1:7" ht="26.25" customHeight="1">
      <c r="A12" s="4" t="s">
        <v>20</v>
      </c>
      <c r="B12" s="2">
        <v>389009</v>
      </c>
      <c r="C12" s="2">
        <v>259409</v>
      </c>
      <c r="D12" s="2">
        <f t="shared" si="0"/>
        <v>648418</v>
      </c>
      <c r="E12" s="3">
        <v>14483.432030000007</v>
      </c>
      <c r="F12" s="3">
        <v>33468.046420000021</v>
      </c>
      <c r="G12" s="3">
        <f t="shared" si="1"/>
        <v>47951.478450000024</v>
      </c>
    </row>
    <row r="13" spans="1:7" ht="26.25" customHeight="1">
      <c r="A13" s="4" t="s">
        <v>19</v>
      </c>
      <c r="B13" s="2">
        <v>345264</v>
      </c>
      <c r="C13" s="2">
        <v>421696</v>
      </c>
      <c r="D13" s="2">
        <f t="shared" si="0"/>
        <v>766960</v>
      </c>
      <c r="E13" s="3">
        <v>28552.518360000009</v>
      </c>
      <c r="F13" s="3">
        <v>24699.830780000015</v>
      </c>
      <c r="G13" s="3">
        <f t="shared" si="1"/>
        <v>53252.34914000002</v>
      </c>
    </row>
    <row r="14" spans="1:7" ht="26.25" customHeight="1">
      <c r="A14" s="4" t="s">
        <v>16</v>
      </c>
      <c r="B14" s="2">
        <v>913795</v>
      </c>
      <c r="C14" s="2">
        <v>997379</v>
      </c>
      <c r="D14" s="2">
        <f t="shared" si="0"/>
        <v>1911174</v>
      </c>
      <c r="E14" s="3">
        <v>533.64418999999998</v>
      </c>
      <c r="F14" s="3">
        <v>6750.8449599999985</v>
      </c>
      <c r="G14" s="3">
        <f t="shared" si="1"/>
        <v>7284.4891499999985</v>
      </c>
    </row>
    <row r="15" spans="1:7" ht="26.25" customHeight="1">
      <c r="A15" s="10" t="s">
        <v>17</v>
      </c>
      <c r="B15" s="2">
        <v>867355</v>
      </c>
      <c r="C15" s="2">
        <v>935617</v>
      </c>
      <c r="D15" s="2">
        <f t="shared" si="0"/>
        <v>1802972</v>
      </c>
      <c r="E15" s="3">
        <v>436.2065399999999</v>
      </c>
      <c r="F15" s="3">
        <v>2635.2128000000025</v>
      </c>
      <c r="G15" s="3">
        <f t="shared" si="1"/>
        <v>3071.4193400000022</v>
      </c>
    </row>
    <row r="16" spans="1:7">
      <c r="A16" s="12" t="s">
        <v>10</v>
      </c>
      <c r="B16" s="12"/>
      <c r="C16" s="12"/>
      <c r="D16" s="12"/>
      <c r="E16" s="12"/>
      <c r="F16" s="12"/>
      <c r="G16" s="12"/>
    </row>
    <row r="17" spans="1:7">
      <c r="A17" s="13" t="s">
        <v>11</v>
      </c>
      <c r="B17" s="13"/>
      <c r="C17" s="13"/>
      <c r="D17" s="13"/>
      <c r="E17" s="13"/>
      <c r="F17" s="13"/>
      <c r="G17" s="13"/>
    </row>
    <row r="18" spans="1:7" ht="49.5" customHeight="1">
      <c r="A18" s="11" t="s">
        <v>18</v>
      </c>
      <c r="B18" s="11"/>
      <c r="C18" s="11"/>
      <c r="D18" s="11"/>
      <c r="E18" s="11"/>
      <c r="F18" s="11"/>
      <c r="G18" s="11"/>
    </row>
    <row r="19" spans="1:7">
      <c r="A19" s="5"/>
      <c r="B19" s="5"/>
      <c r="C19" s="5"/>
      <c r="D19" s="5"/>
      <c r="E19" s="5"/>
      <c r="F19" s="5"/>
      <c r="G19" s="5"/>
    </row>
    <row r="20" spans="1:7" ht="15.75">
      <c r="A20" s="6"/>
      <c r="B20" s="1"/>
      <c r="C20" s="1"/>
      <c r="D20" s="7"/>
      <c r="E20" s="7"/>
      <c r="F20" s="7"/>
      <c r="G20" s="1"/>
    </row>
    <row r="21" spans="1:7" ht="15.75">
      <c r="A21" s="6"/>
      <c r="B21" s="1"/>
      <c r="C21" s="1"/>
      <c r="D21" s="8"/>
      <c r="E21" s="8"/>
      <c r="F21" s="8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spicejet</vt:lpstr>
      <vt:lpstr>spicejet!Print_Area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2022-04-26T06:05:22Z</cp:lastPrinted>
  <dcterms:created xsi:type="dcterms:W3CDTF">2018-10-29T04:47:53Z</dcterms:created>
  <dcterms:modified xsi:type="dcterms:W3CDTF">2025-01-27T10:53:35Z</dcterms:modified>
</cp:coreProperties>
</file>