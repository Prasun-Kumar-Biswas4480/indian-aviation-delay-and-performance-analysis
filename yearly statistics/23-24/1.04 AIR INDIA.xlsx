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Correction in Annual Report 2023-24\Uploading Annual Report 2023-24\01 Airline Wise Air Transport Operating and Traffic Statistics\AIR INDIA\"/>
    </mc:Choice>
  </mc:AlternateContent>
  <bookViews>
    <workbookView xWindow="0" yWindow="0" windowWidth="24000" windowHeight="9135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2" l="1"/>
  <c r="H8" i="2"/>
  <c r="H9" i="2"/>
  <c r="H10" i="2"/>
  <c r="H11" i="2"/>
  <c r="H12" i="2"/>
  <c r="H13" i="2"/>
  <c r="H14" i="2"/>
  <c r="H15" i="2"/>
  <c r="H16" i="2"/>
  <c r="H7" i="2"/>
  <c r="H6" i="2"/>
  <c r="C18" i="2" l="1"/>
  <c r="D18" i="2"/>
  <c r="E18" i="2"/>
  <c r="F18" i="2"/>
  <c r="G18" i="2"/>
  <c r="H18" i="2"/>
  <c r="I18" i="2"/>
  <c r="K18" i="2"/>
  <c r="L18" i="2"/>
  <c r="M18" i="2"/>
  <c r="N18" i="2"/>
  <c r="O18" i="2"/>
  <c r="P18" i="2"/>
  <c r="Q18" i="2"/>
  <c r="B18" i="2" l="1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<sst xmlns="http://schemas.openxmlformats.org/spreadsheetml/2006/main" count="39" uniqueCount="37">
  <si>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</si>
  <si>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</si>
  <si>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</si>
  <si>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</si>
  <si>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</si>
  <si>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</si>
  <si>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</si>
  <si>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</si>
  <si>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</si>
  <si>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</si>
  <si>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</si>
  <si>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</si>
  <si>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</si>
  <si>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</si>
  <si>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</si>
  <si>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</si>
  <si>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</si>
  <si>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</si>
  <si>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</si>
  <si>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</si>
  <si>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</si>
  <si>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</si>
  <si>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</si>
  <si>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</si>
  <si>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</si>
  <si>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 xml:space="preserve">SOURCE: ICAO ATR FORM 'A' FURNISHED BY AIR INDIA </t>
  </si>
  <si>
    <t>2019-20</t>
  </si>
  <si>
    <t>YEAR ON YEAR GROWTH AND CAGR FOR LAST TEN YEARS OF AIR INDIA ON SCHEDULED DOMESTIC SERVICES (ALL AIR TRAFFIC AND OPERATING STATISTICS)</t>
  </si>
  <si>
    <t>2020-21</t>
  </si>
  <si>
    <t>2021-22</t>
  </si>
  <si>
    <t>2022-23</t>
  </si>
  <si>
    <t>Table 1.04 AIR INDIA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</si>
  <si>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</si>
  <si>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</si>
  <si>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</si>
  <si>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</si>
  <si>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तालिका 1.04 एयर इंडिया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</si>
</sst>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[$-1010409]mmmm/yy;@"/>
    <numFmt numFmtId="167" formatCode="_(* #,##0_);_(* \(#,##0\);_(* &quot;-&quot;??_);_(@_)"/>
    <numFmt numFmtId="168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6" borderId="0" applyNumberFormat="0" applyBorder="0" applyAlignment="0" applyProtection="0"/>
  </cellStyleXfs>
  <cellXfs count="26">
    <xf numFmtId="0" fontId="0" fillId="0" borderId="0" xfId="0"/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166" fontId="4" fillId="6" borderId="1" xfId="6" applyNumberFormat="1" applyFont="1" applyBorder="1" applyAlignment="1" applyProtection="1">
      <alignment horizontal="center" vertical="top" wrapText="1"/>
    </xf>
    <xf numFmtId="167" fontId="4" fillId="6" borderId="1" xfId="6" applyNumberFormat="1" applyBorder="1" applyAlignment="1">
      <alignment horizontal="right" vertical="top"/>
    </xf>
    <xf numFmtId="168" fontId="4" fillId="6" borderId="1" xfId="6" applyNumberFormat="1" applyBorder="1" applyAlignment="1">
      <alignment horizontal="right" vertical="top"/>
    </xf>
    <xf numFmtId="168" fontId="3" fillId="6" borderId="1" xfId="6" applyNumberFormat="1" applyFont="1" applyBorder="1" applyAlignment="1">
      <alignment horizontal="right" vertical="top"/>
    </xf>
    <xf numFmtId="166" fontId="3" fillId="2" borderId="1" xfId="0" applyNumberFormat="1" applyFont="1" applyFill="1" applyBorder="1" applyAlignment="1" applyProtection="1">
      <alignment horizontal="center" vertical="top" wrapText="1"/>
    </xf>
    <xf numFmtId="167" fontId="0" fillId="0" borderId="1" xfId="5" applyNumberFormat="1" applyFont="1" applyBorder="1" applyAlignment="1">
      <alignment horizontal="right" vertical="top"/>
    </xf>
    <xf numFmtId="168" fontId="0" fillId="0" borderId="1" xfId="5" applyNumberFormat="1" applyFont="1" applyBorder="1" applyAlignment="1">
      <alignment horizontal="right" vertical="top"/>
    </xf>
    <xf numFmtId="168" fontId="3" fillId="0" borderId="1" xfId="5" applyNumberFormat="1" applyFont="1" applyBorder="1" applyAlignment="1">
      <alignment horizontal="right" vertical="top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3" borderId="2" xfId="1" applyFont="1" applyAlignment="1">
      <alignment horizontal="center" vertical="center" wrapText="1"/>
    </xf>
    <xf numFmtId="0" fontId="3" fillId="3" borderId="2" xfId="1" quotePrefix="1" applyFont="1" applyAlignment="1" applyProtection="1">
      <alignment horizontal="center" vertical="center" wrapText="1"/>
    </xf>
    <xf numFmtId="0" fontId="3" fillId="3" borderId="2" xfId="1" applyFont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left" vertical="center" wrapText="1"/>
    </xf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zoomScaleNormal="100" zoomScaleSheetLayoutView="100" workbookViewId="0">
      <selection activeCell="T5" sqref="T5"/>
    </sheetView>
  </sheetViews>
  <sheetFormatPr defaultRowHeight="15" x14ac:dyDescent="0.25"/>
  <cols>
    <col min="1" max="1" width="11" customWidth="1"/>
    <col min="2" max="2" width="9.140625" customWidth="1"/>
    <col min="3" max="3" width="8.7109375" customWidth="1"/>
    <col min="4" max="4" width="10" customWidth="1"/>
    <col min="5" max="5" width="12.42578125" customWidth="1"/>
    <col min="6" max="6" width="8.85546875" customWidth="1"/>
    <col min="7" max="7" width="7.7109375" customWidth="1"/>
    <col min="8" max="8" width="7" customWidth="1"/>
    <col min="9" max="9" width="10.28515625" customWidth="1"/>
    <col min="10" max="10" width="9.42578125" customWidth="1"/>
    <col min="11" max="11" width="11.5703125" customWidth="1"/>
    <col min="12" max="12" width="9" customWidth="1"/>
    <col min="13" max="13" width="6.7109375" customWidth="1"/>
    <col min="14" max="14" width="9.140625" customWidth="1"/>
    <col min="15" max="15" width="8.28515625" customWidth="1"/>
    <col min="16" max="16" width="8.85546875" customWidth="1"/>
    <col min="17" max="17" width="6.5703125" customWidth="1"/>
  </cols>
  <sheetData>
    <row r="1" spans="1:17" ht="15" customHeight="1" x14ac:dyDescent="0.25">
      <c r="A1" s="18" t="s">
        <v>36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5" customHeight="1" x14ac:dyDescent="0.25">
      <c r="A2" s="19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33.75" customHeight="1" x14ac:dyDescent="0.25">
      <c r="A3" s="21" t="s">
        <v>27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3" customHeight="1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14" t="s">
        <v>3</v>
      </c>
      <c r="H4" s="14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4" t="s">
        <v>7</v>
      </c>
      <c r="Q4" s="14" t="s">
        <v>8</v>
      </c>
    </row>
    <row r="5" spans="1:17" ht="114.75" customHeight="1" x14ac:dyDescent="0.25">
      <c r="A5" s="21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5"/>
      <c r="H5" s="15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5"/>
      <c r="Q5" s="15"/>
    </row>
    <row r="6" spans="1:17" ht="20.100000000000001" customHeight="1" x14ac:dyDescent="0.25">
      <c r="A6" s="6" t="s">
        <v>19</v>
      </c>
      <c r="B6" s="7">
        <v>102270</v>
      </c>
      <c r="C6" s="7">
        <v>176293</v>
      </c>
      <c r="D6" s="7">
        <v>92022</v>
      </c>
      <c r="E6" s="7">
        <v>10355226</v>
      </c>
      <c r="F6" s="7">
        <v>10418.531999999999</v>
      </c>
      <c r="G6" s="7">
        <v>14697.727000000001</v>
      </c>
      <c r="H6" s="8">
        <f>F6/G6*100</f>
        <v>70.885328051065301</v>
      </c>
      <c r="I6" s="9">
        <v>81129</v>
      </c>
      <c r="J6" s="9">
        <v>0</v>
      </c>
      <c r="K6" s="9">
        <v>81129</v>
      </c>
      <c r="L6" s="8">
        <v>957.78800000000001</v>
      </c>
      <c r="M6" s="8">
        <v>91.91</v>
      </c>
      <c r="N6" s="8">
        <v>15.788</v>
      </c>
      <c r="O6" s="8">
        <v>1065.4860000000001</v>
      </c>
      <c r="P6" s="8">
        <v>1701.491</v>
      </c>
      <c r="Q6" s="8">
        <v>62.620724999426983</v>
      </c>
    </row>
    <row r="7" spans="1:17" ht="20.100000000000001" customHeight="1" x14ac:dyDescent="0.25">
      <c r="A7" s="10" t="s">
        <v>20</v>
      </c>
      <c r="B7" s="11">
        <v>102808</v>
      </c>
      <c r="C7" s="11">
        <v>180314</v>
      </c>
      <c r="D7" s="11">
        <v>100721</v>
      </c>
      <c r="E7" s="11">
        <v>11727171</v>
      </c>
      <c r="F7" s="11">
        <v>11527.876</v>
      </c>
      <c r="G7" s="11">
        <v>14939.433000000001</v>
      </c>
      <c r="H7" s="12">
        <f>F7/G7*100</f>
        <v>77.164079788034783</v>
      </c>
      <c r="I7" s="13">
        <v>100721</v>
      </c>
      <c r="J7" s="13">
        <v>16403</v>
      </c>
      <c r="K7" s="13">
        <v>117124</v>
      </c>
      <c r="L7" s="12">
        <v>1059.8320000000001</v>
      </c>
      <c r="M7" s="12">
        <v>118.41800000000001</v>
      </c>
      <c r="N7" s="12">
        <v>15.295999999999999</v>
      </c>
      <c r="O7" s="12">
        <v>1193.546</v>
      </c>
      <c r="P7" s="12">
        <v>1702.2329999999999</v>
      </c>
      <c r="Q7" s="12">
        <v>70.116488165838646</v>
      </c>
    </row>
    <row r="8" spans="1:17" ht="20.100000000000001" customHeight="1" x14ac:dyDescent="0.25">
      <c r="A8" s="6" t="s">
        <v>21</v>
      </c>
      <c r="B8" s="7">
        <v>104122</v>
      </c>
      <c r="C8" s="7">
        <v>188049</v>
      </c>
      <c r="D8" s="7">
        <v>118071</v>
      </c>
      <c r="E8" s="7">
        <v>12742163</v>
      </c>
      <c r="F8" s="7">
        <v>12249.286</v>
      </c>
      <c r="G8" s="7">
        <v>15467.941999999999</v>
      </c>
      <c r="H8" s="8">
        <f t="shared" ref="H8:H16" si="0">F8/G8*100</f>
        <v>79.191439947214704</v>
      </c>
      <c r="I8" s="9">
        <v>83405</v>
      </c>
      <c r="J8" s="9">
        <v>16207</v>
      </c>
      <c r="K8" s="9">
        <v>99612</v>
      </c>
      <c r="L8" s="8">
        <v>1123.7159999999999</v>
      </c>
      <c r="M8" s="8">
        <v>98.012</v>
      </c>
      <c r="N8" s="8">
        <v>15.452</v>
      </c>
      <c r="O8" s="8">
        <v>1237.18</v>
      </c>
      <c r="P8" s="8">
        <v>1740.549</v>
      </c>
      <c r="Q8" s="8">
        <v>71.079871925467202</v>
      </c>
    </row>
    <row r="9" spans="1:17" ht="20.100000000000001" customHeight="1" x14ac:dyDescent="0.25">
      <c r="A9" s="10" t="s">
        <v>22</v>
      </c>
      <c r="B9" s="11">
        <v>109258</v>
      </c>
      <c r="C9" s="11">
        <v>199338</v>
      </c>
      <c r="D9" s="11">
        <v>113547</v>
      </c>
      <c r="E9" s="11">
        <v>13734192</v>
      </c>
      <c r="F9" s="11">
        <v>13083.157999999999</v>
      </c>
      <c r="G9" s="11">
        <v>16517.294999999998</v>
      </c>
      <c r="H9" s="12">
        <f t="shared" si="0"/>
        <v>79.208841399272714</v>
      </c>
      <c r="I9" s="13">
        <v>63802</v>
      </c>
      <c r="J9" s="13">
        <v>10031</v>
      </c>
      <c r="K9" s="13">
        <v>73833</v>
      </c>
      <c r="L9" s="12">
        <v>1204.115</v>
      </c>
      <c r="M9" s="12">
        <v>76.305000000000007</v>
      </c>
      <c r="N9" s="12">
        <v>9.6180000000000003</v>
      </c>
      <c r="O9" s="12">
        <v>1290.038</v>
      </c>
      <c r="P9" s="12">
        <v>1861.8820000000001</v>
      </c>
      <c r="Q9" s="12">
        <v>69.286775424006464</v>
      </c>
    </row>
    <row r="10" spans="1:17" ht="20.100000000000001" customHeight="1" x14ac:dyDescent="0.25">
      <c r="A10" s="6" t="s">
        <v>23</v>
      </c>
      <c r="B10" s="7">
        <v>115736</v>
      </c>
      <c r="C10" s="7">
        <v>216527.5</v>
      </c>
      <c r="D10" s="7">
        <v>121639.3</v>
      </c>
      <c r="E10" s="7">
        <v>14755383</v>
      </c>
      <c r="F10" s="7">
        <v>14330.642199999998</v>
      </c>
      <c r="G10" s="7">
        <v>17811.933699999998</v>
      </c>
      <c r="H10" s="8">
        <f t="shared" si="0"/>
        <v>80.45528599738725</v>
      </c>
      <c r="I10" s="9">
        <v>75049</v>
      </c>
      <c r="J10" s="9">
        <v>10194.1</v>
      </c>
      <c r="K10" s="9">
        <v>85243.1</v>
      </c>
      <c r="L10" s="8">
        <v>1396.8109999999999</v>
      </c>
      <c r="M10" s="8">
        <v>90.887500000000003</v>
      </c>
      <c r="N10" s="8">
        <v>9.8983999999999988</v>
      </c>
      <c r="O10" s="8">
        <v>1497.5969</v>
      </c>
      <c r="P10" s="8">
        <v>2026.5603999999998</v>
      </c>
      <c r="Q10" s="8">
        <v>73.898458688919419</v>
      </c>
    </row>
    <row r="11" spans="1:17" ht="20.100000000000001" customHeight="1" x14ac:dyDescent="0.25">
      <c r="A11" s="10" t="s">
        <v>24</v>
      </c>
      <c r="B11" s="11">
        <v>119091</v>
      </c>
      <c r="C11" s="11">
        <v>221689.27970000001</v>
      </c>
      <c r="D11" s="11">
        <v>128943.655</v>
      </c>
      <c r="E11" s="11">
        <v>15479331</v>
      </c>
      <c r="F11" s="11">
        <v>15013.722734999999</v>
      </c>
      <c r="G11" s="11">
        <v>18517.913667000004</v>
      </c>
      <c r="H11" s="12">
        <f t="shared" si="0"/>
        <v>81.076750896378371</v>
      </c>
      <c r="I11" s="13">
        <v>73036.244699999996</v>
      </c>
      <c r="J11" s="13">
        <v>8762.1279999999988</v>
      </c>
      <c r="K11" s="13">
        <v>81798.372699999993</v>
      </c>
      <c r="L11" s="12">
        <v>1475.0026169999999</v>
      </c>
      <c r="M11" s="12">
        <v>85.048941375000012</v>
      </c>
      <c r="N11" s="12">
        <v>8.843221999999999</v>
      </c>
      <c r="O11" s="12">
        <v>1568.894780375</v>
      </c>
      <c r="P11" s="12">
        <v>2047.1803712200001</v>
      </c>
      <c r="Q11" s="12">
        <v>76.636861237587496</v>
      </c>
    </row>
    <row r="12" spans="1:17" ht="20.100000000000001" customHeight="1" x14ac:dyDescent="0.25">
      <c r="A12" s="6" t="s">
        <v>26</v>
      </c>
      <c r="B12" s="7">
        <v>122268</v>
      </c>
      <c r="C12" s="7">
        <v>231052.08333333346</v>
      </c>
      <c r="D12" s="7">
        <v>135213.19</v>
      </c>
      <c r="E12" s="7">
        <v>15419648</v>
      </c>
      <c r="F12" s="7">
        <v>15002.343380999999</v>
      </c>
      <c r="G12" s="7">
        <v>19078.509264</v>
      </c>
      <c r="H12" s="8">
        <f t="shared" si="0"/>
        <v>78.634777871814748</v>
      </c>
      <c r="I12" s="9">
        <v>74350.787199999992</v>
      </c>
      <c r="J12" s="9">
        <v>8431.7339999999986</v>
      </c>
      <c r="K12" s="9">
        <v>82782.525200000004</v>
      </c>
      <c r="L12" s="8">
        <v>1390.1368331270003</v>
      </c>
      <c r="M12" s="8">
        <v>87.348951041200024</v>
      </c>
      <c r="N12" s="8">
        <v>7.881910999999997</v>
      </c>
      <c r="O12" s="8">
        <v>1485.3676951681998</v>
      </c>
      <c r="P12" s="8">
        <v>2062.6449561999998</v>
      </c>
      <c r="Q12" s="8">
        <v>72.012766458105574</v>
      </c>
    </row>
    <row r="13" spans="1:17" ht="20.100000000000001" customHeight="1" x14ac:dyDescent="0.25">
      <c r="A13" s="10" t="s">
        <v>28</v>
      </c>
      <c r="B13" s="11">
        <v>46244</v>
      </c>
      <c r="C13" s="11">
        <v>90968.68333333332</v>
      </c>
      <c r="D13" s="11">
        <v>57086.676999999996</v>
      </c>
      <c r="E13" s="11">
        <v>4781615</v>
      </c>
      <c r="F13" s="11">
        <v>5176.7283370000005</v>
      </c>
      <c r="G13" s="11">
        <v>7889.9327330000006</v>
      </c>
      <c r="H13" s="12">
        <f t="shared" si="0"/>
        <v>65.61181840433315</v>
      </c>
      <c r="I13" s="13">
        <v>35613.347900000001</v>
      </c>
      <c r="J13" s="13">
        <v>12.214000000000004</v>
      </c>
      <c r="K13" s="13">
        <v>35625.561900000001</v>
      </c>
      <c r="L13" s="12">
        <v>482.24094538600002</v>
      </c>
      <c r="M13" s="12">
        <v>46.288386454799998</v>
      </c>
      <c r="N13" s="12">
        <v>8.4000000000000012E-3</v>
      </c>
      <c r="O13" s="12">
        <v>528.53773184079989</v>
      </c>
      <c r="P13" s="12">
        <v>841.06701992000012</v>
      </c>
      <c r="Q13" s="12">
        <v>62.841333606336491</v>
      </c>
    </row>
    <row r="14" spans="1:17" ht="20.100000000000001" customHeight="1" x14ac:dyDescent="0.25">
      <c r="A14" s="6" t="s">
        <v>29</v>
      </c>
      <c r="B14" s="7">
        <v>76834</v>
      </c>
      <c r="C14" s="7">
        <v>145274.33333333331</v>
      </c>
      <c r="D14" s="7">
        <v>90092.270999999993</v>
      </c>
      <c r="E14" s="7">
        <v>8166932</v>
      </c>
      <c r="F14" s="7">
        <v>8549.0891409999986</v>
      </c>
      <c r="G14" s="7">
        <v>12467.57372</v>
      </c>
      <c r="H14" s="8">
        <f t="shared" si="0"/>
        <v>68.570592265966553</v>
      </c>
      <c r="I14" s="9">
        <v>69392.127500000017</v>
      </c>
      <c r="J14" s="9">
        <v>14.974406980133722</v>
      </c>
      <c r="K14" s="9">
        <v>69407.101906980155</v>
      </c>
      <c r="L14" s="8">
        <v>785.89279236800007</v>
      </c>
      <c r="M14" s="8">
        <v>86.970966226799987</v>
      </c>
      <c r="N14" s="8">
        <v>1.2456300863737378E-3</v>
      </c>
      <c r="O14" s="8">
        <v>872.86500422488655</v>
      </c>
      <c r="P14" s="8">
        <v>1336.5526074119998</v>
      </c>
      <c r="Q14" s="8">
        <f>O14/P14*100</f>
        <v>65.307193999272258</v>
      </c>
    </row>
    <row r="15" spans="1:17" ht="20.100000000000001" customHeight="1" x14ac:dyDescent="0.25">
      <c r="A15" s="10" t="s">
        <v>30</v>
      </c>
      <c r="B15" s="11">
        <v>91277</v>
      </c>
      <c r="C15" s="11">
        <v>177208.93566666663</v>
      </c>
      <c r="D15" s="11">
        <v>102096.40499999998</v>
      </c>
      <c r="E15" s="11">
        <v>11696923</v>
      </c>
      <c r="F15" s="11">
        <v>12321.91877</v>
      </c>
      <c r="G15" s="11">
        <v>15057.099751999998</v>
      </c>
      <c r="H15" s="12">
        <f t="shared" si="0"/>
        <v>81.83460940652472</v>
      </c>
      <c r="I15" s="13">
        <v>68341.587299999985</v>
      </c>
      <c r="J15" s="13">
        <v>1127.1980962852426</v>
      </c>
      <c r="K15" s="13">
        <v>69468.785396285224</v>
      </c>
      <c r="L15" s="12">
        <v>1127.0372340839997</v>
      </c>
      <c r="M15" s="12">
        <v>83.188933595999998</v>
      </c>
      <c r="N15" s="12">
        <v>0.90891930380073627</v>
      </c>
      <c r="O15" s="12">
        <v>1211.1350869838004</v>
      </c>
      <c r="P15" s="12">
        <v>1590.0784771839992</v>
      </c>
      <c r="Q15" s="12">
        <v>76.168258633919706</v>
      </c>
    </row>
    <row r="16" spans="1:17" ht="20.100000000000001" customHeight="1" x14ac:dyDescent="0.25">
      <c r="A16" s="6" t="s">
        <v>32</v>
      </c>
      <c r="B16" s="7">
        <v>105191</v>
      </c>
      <c r="C16" s="7">
        <v>203199.06900000002</v>
      </c>
      <c r="D16" s="7">
        <v>112524.77799999999</v>
      </c>
      <c r="E16" s="7">
        <v>14982654</v>
      </c>
      <c r="F16" s="7">
        <v>15334.879137</v>
      </c>
      <c r="G16" s="7">
        <v>17673.474944000001</v>
      </c>
      <c r="H16" s="8">
        <f t="shared" si="0"/>
        <v>86.767764605375831</v>
      </c>
      <c r="I16" s="9">
        <v>84023.598100000032</v>
      </c>
      <c r="J16" s="9">
        <v>6673.0298125435311</v>
      </c>
      <c r="K16" s="9">
        <v>90696.627912543554</v>
      </c>
      <c r="L16" s="8">
        <v>1402.4946370150001</v>
      </c>
      <c r="M16" s="8">
        <v>104.4269694707</v>
      </c>
      <c r="N16" s="8">
        <v>6.7453379523954942</v>
      </c>
      <c r="O16" s="8">
        <v>1513.6669444380959</v>
      </c>
      <c r="P16" s="8">
        <v>1925.4815382399961</v>
      </c>
      <c r="Q16" s="8">
        <v>78.612384194640313</v>
      </c>
    </row>
    <row r="17" spans="1:17" ht="31.5" customHeight="1" x14ac:dyDescent="0.25">
      <c r="A17" s="1" t="s">
        <v>33</v>
      </c>
      <c r="B17" s="4">
        <f t="shared" ref="B17:Q17" si="1">(B16-B15)/B15</f>
        <v>0.15243708710847201</v>
      </c>
      <c r="C17" s="4">
        <f t="shared" si="1"/>
        <v>0.14666378552276463</v>
      </c>
      <c r="D17" s="4">
        <f t="shared" si="1"/>
        <v>0.10214241138069463</v>
      </c>
      <c r="E17" s="4">
        <f t="shared" si="1"/>
        <v>0.2809055851697066</v>
      </c>
      <c r="F17" s="4">
        <f t="shared" si="1"/>
        <v>0.24452038868618509</v>
      </c>
      <c r="G17" s="4">
        <f t="shared" si="1"/>
        <v>0.17376355573738406</v>
      </c>
      <c r="H17" s="4">
        <f t="shared" si="1"/>
        <v>6.0282015575402595E-2</v>
      </c>
      <c r="I17" s="4">
        <f t="shared" si="1"/>
        <v>0.22946512393925697</v>
      </c>
      <c r="J17" s="4">
        <f t="shared" si="1"/>
        <v>4.9200151548649265</v>
      </c>
      <c r="K17" s="4">
        <f t="shared" si="1"/>
        <v>0.30557382564217783</v>
      </c>
      <c r="L17" s="4">
        <f t="shared" si="1"/>
        <v>0.24440843177189137</v>
      </c>
      <c r="M17" s="4">
        <f t="shared" si="1"/>
        <v>0.25529881147221722</v>
      </c>
      <c r="N17" s="4">
        <f t="shared" si="1"/>
        <v>6.421272630242524</v>
      </c>
      <c r="O17" s="4">
        <f t="shared" si="1"/>
        <v>0.24979200149152481</v>
      </c>
      <c r="P17" s="4">
        <f t="shared" si="1"/>
        <v>0.21093491036366316</v>
      </c>
      <c r="Q17" s="4">
        <f t="shared" si="1"/>
        <v>3.2088505166798897E-2</v>
      </c>
    </row>
    <row r="18" spans="1:17" ht="35.25" customHeight="1" x14ac:dyDescent="0.25">
      <c r="A18" s="2" t="s">
        <v>34</v>
      </c>
      <c r="B18" s="3">
        <f t="shared" ref="B18:I18" si="2">(((B16/B6)^(1/10))-1)</f>
        <v>2.8201060883685791E-3</v>
      </c>
      <c r="C18" s="3">
        <f t="shared" si="2"/>
        <v>1.4305229382727491E-2</v>
      </c>
      <c r="D18" s="3">
        <f t="shared" si="2"/>
        <v>2.0318238065724525E-2</v>
      </c>
      <c r="E18" s="3">
        <f t="shared" si="2"/>
        <v>3.7630949158080851E-2</v>
      </c>
      <c r="F18" s="3">
        <f t="shared" si="2"/>
        <v>3.9411177416112331E-2</v>
      </c>
      <c r="G18" s="3">
        <f t="shared" si="2"/>
        <v>1.8608221578833239E-2</v>
      </c>
      <c r="H18" s="3">
        <f t="shared" si="2"/>
        <v>2.0422921587099241E-2</v>
      </c>
      <c r="I18" s="3">
        <f t="shared" si="2"/>
        <v>3.5118730983985103E-3</v>
      </c>
      <c r="J18" s="3"/>
      <c r="K18" s="3">
        <f t="shared" ref="K18:Q18" si="3">(((K16/K6)^(1/10))-1)</f>
        <v>1.1210339918552137E-2</v>
      </c>
      <c r="L18" s="3">
        <f t="shared" si="3"/>
        <v>3.8874728384649115E-2</v>
      </c>
      <c r="M18" s="3">
        <f t="shared" si="3"/>
        <v>1.2849669831630717E-2</v>
      </c>
      <c r="N18" s="3">
        <f t="shared" si="3"/>
        <v>-8.1524323577778501E-2</v>
      </c>
      <c r="O18" s="3">
        <f t="shared" si="3"/>
        <v>3.5734059319480371E-2</v>
      </c>
      <c r="P18" s="3">
        <f t="shared" si="3"/>
        <v>1.2443905076110928E-2</v>
      </c>
      <c r="Q18" s="3">
        <f t="shared" si="3"/>
        <v>2.3003895945838737E-2</v>
      </c>
    </row>
    <row r="19" spans="1:17" x14ac:dyDescent="0.25">
      <c r="A19" s="23" t="s">
        <v>25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</row>
    <row r="20" spans="1:17" ht="31.5" customHeight="1" x14ac:dyDescent="0.25">
      <c r="A20" s="16" t="s">
        <v>35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</sheetData>
  <mergeCells count="14">
    <mergeCell ref="P4:P5"/>
    <mergeCell ref="Q4:Q5"/>
    <mergeCell ref="A20:Q2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19:Q19"/>
  </mergeCells>
  <pageMargins left="0.7" right="0.7" top="0.75" bottom="0.75" header="0.3" footer="0.3"/>
  <pageSetup paperSize="9" scale="84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2021-08-27T22:57:42Z</cp:lastPrinted>
  <dcterms:created xsi:type="dcterms:W3CDTF">2018-10-29T04:00:14Z</dcterms:created>
  <dcterms:modified xsi:type="dcterms:W3CDTF">2025-11-10T07:54:52Z</dcterms:modified>
</cp:coreProperties>
</file>