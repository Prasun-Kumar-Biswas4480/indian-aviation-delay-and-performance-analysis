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showHorizontalScroll="0" showVerticalScroll="0" showSheetTabs="0" xWindow="0" yWindow="0" windowWidth="13140" windowHeight="106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1" l="1"/>
  <c r="Q7" i="1"/>
  <c r="H8" i="1"/>
  <c r="Q8" i="1"/>
  <c r="H11" i="1"/>
  <c r="H13" i="1"/>
  <c r="H15" i="1"/>
  <c r="Q15" i="1"/>
  <c r="H17" i="1"/>
  <c r="Q17" i="1"/>
  <c r="B18" i="1"/>
  <c r="D18" i="1" l="1"/>
  <c r="Q9" i="1"/>
  <c r="H9" i="1"/>
  <c r="I18" i="1"/>
  <c r="N18" i="1"/>
  <c r="E18" i="1"/>
  <c r="Q16" i="1"/>
  <c r="F18" i="1"/>
  <c r="Q12" i="1"/>
  <c r="H12" i="1"/>
  <c r="P18" i="1"/>
  <c r="M18" i="1"/>
  <c r="H16" i="1"/>
  <c r="Q11" i="1"/>
  <c r="H14" i="1"/>
  <c r="L18" i="1"/>
  <c r="G18" i="1"/>
  <c r="Q14" i="1"/>
  <c r="Q6" i="1"/>
  <c r="Q10" i="1"/>
  <c r="H10" i="1"/>
  <c r="K18" i="1"/>
  <c r="Q13" i="1"/>
  <c r="C18" i="1"/>
  <c r="J18" i="1"/>
  <c r="O18" i="1"/>
  <c r="H6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<sst xmlns="http://schemas.openxmlformats.org/spreadsheetml/2006/main" count="26" uniqueCount="24">
  <si>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</si>
  <si>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</si>
  <si>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</si>
  <si>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</si>
  <si>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</si>
  <si>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</si>
  <si>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</si>
  <si>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</si>
  <si>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</si>
  <si>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</si>
  <si>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</si>
  <si>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</si>
  <si>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</si>
  <si>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</si>
  <si>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</si>
  <si>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</si>
  <si>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</si>
  <si>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</si>
  <si>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</si>
  <si>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</si>
  <si>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2023-24</t>
  </si>
  <si>
    <t xml:space="preserve"> MONTHLY TRAFFIC AND OPERATING STATISTICS OF ALL SCHEDULED INDIAN AIRLINES ON TOTAL SCHEDULED (INTERNATIONAL+DOMESTIC) SERVICES DURING 2023-24</t>
  </si>
  <si>
    <t xml:space="preserve"> तालिका- 2.03 (सभी अनुसूचित भारतीय एयरलाइन्स) </t>
  </si>
  <si>
    <t>Table 2.03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</si>
</sst>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/>
    <xf numFmtId="17" fontId="2" fillId="4" borderId="1" xfId="2" applyNumberFormat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wrapText="1"/>
    </xf>
    <xf numFmtId="3" fontId="2" fillId="4" borderId="1" xfId="2" applyNumberFormat="1" applyBorder="1" applyAlignment="1" applyProtection="1">
      <alignment horizontal="right" vertical="center" wrapText="1"/>
    </xf>
    <xf numFmtId="164" fontId="2" fillId="4" borderId="1" xfId="2" applyNumberFormat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17" fontId="2" fillId="5" borderId="1" xfId="2" applyNumberFormat="1" applyFill="1" applyBorder="1" applyAlignment="1" applyProtection="1">
      <alignment horizontal="center" vertical="center" wrapText="1"/>
    </xf>
    <xf numFmtId="3" fontId="2" fillId="5" borderId="1" xfId="2" applyNumberFormat="1" applyFill="1" applyBorder="1" applyAlignment="1" applyProtection="1">
      <alignment horizontal="right" vertical="center" wrapText="1"/>
    </xf>
    <xf numFmtId="164" fontId="2" fillId="5" borderId="1" xfId="2" applyNumberFormat="1" applyFill="1" applyBorder="1" applyAlignment="1" applyProtection="1">
      <alignment horizontal="right" vertical="center" wrapText="1"/>
    </xf>
    <xf numFmtId="3" fontId="3" fillId="4" borderId="1" xfId="2" applyNumberFormat="1" applyFont="1" applyBorder="1" applyAlignment="1" applyProtection="1">
      <alignment horizontal="center" vertical="center" wrapText="1"/>
    </xf>
    <xf numFmtId="165" fontId="3" fillId="4" borderId="1" xfId="2" applyNumberFormat="1" applyFont="1" applyBorder="1" applyAlignment="1" applyProtection="1">
      <alignment horizontal="center" vertical="center" wrapText="1"/>
    </xf>
    <xf numFmtId="17" fontId="0" fillId="4" borderId="1" xfId="2" applyNumberFormat="1" applyFont="1" applyBorder="1" applyAlignment="1" applyProtection="1">
      <alignment horizontal="center" vertical="center" wrapText="1"/>
    </xf>
    <xf numFmtId="164" fontId="3" fillId="4" borderId="1" xfId="2" applyNumberFormat="1" applyFont="1" applyBorder="1" applyAlignment="1" applyProtection="1">
      <alignment horizontal="center" vertical="center" wrapText="1"/>
    </xf>
    <xf numFmtId="3" fontId="2" fillId="4" borderId="1" xfId="2" applyNumberFormat="1" applyBorder="1" applyAlignment="1" applyProtection="1">
      <alignment horizontal="center" vertical="center" wrapText="1"/>
    </xf>
    <xf numFmtId="3" fontId="2" fillId="5" borderId="1" xfId="2" applyNumberFormat="1" applyFill="1" applyBorder="1" applyAlignment="1" applyProtection="1">
      <alignment horizontal="center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applyFont="1" applyBorder="1"/>
    <xf numFmtId="0" fontId="0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  <xf numFmtId="0" fontId="2" fillId="3" borderId="1" xfId="1" applyFont="1" applyBorder="1" applyAlignment="1" applyProtection="1">
      <alignment horizontal="center" vertical="center" wrapText="1"/>
    </xf>
    <xf numFmtId="0" fontId="0" fillId="4" borderId="1" xfId="2" applyFont="1" applyBorder="1" applyAlignment="1">
      <alignment horizontal="center" vertical="center" wrapText="1"/>
    </xf>
    <xf numFmtId="0" fontId="0" fillId="4" borderId="1" xfId="2" quotePrefix="1" applyFont="1" applyBorder="1" applyAlignment="1" applyProtection="1">
      <alignment horizontal="center" vertic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view="pageBreakPreview" zoomScale="85" zoomScaleNormal="95" zoomScaleSheetLayoutView="85" workbookViewId="0">
      <selection activeCell="F7" sqref="F7"/>
    </sheetView>
  </sheetViews>
  <sheetFormatPr defaultColWidth="9.140625" defaultRowHeight="15" x14ac:dyDescent="0.25"/>
  <cols>
    <col min="1" max="1" width="8.85546875" style="1" customWidth="1"/>
    <col min="2" max="2" width="10.28515625" style="1" customWidth="1"/>
    <col min="3" max="3" width="10.42578125" style="1" customWidth="1"/>
    <col min="4" max="4" width="10.28515625" style="1" customWidth="1"/>
    <col min="5" max="5" width="12.140625" style="1" customWidth="1"/>
    <col min="6" max="6" width="8.7109375" style="1" customWidth="1"/>
    <col min="7" max="7" width="9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8" style="1" customWidth="1"/>
    <col min="14" max="14" width="6" style="1" customWidth="1"/>
    <col min="15" max="15" width="9.5703125" style="1" customWidth="1"/>
    <col min="16" max="16" width="10.28515625" style="1" customWidth="1"/>
    <col min="17" max="17" width="6.7109375" style="1" customWidth="1"/>
    <col min="18" max="16384" width="9.140625" style="1"/>
  </cols>
  <sheetData>
    <row r="1" spans="1:17" ht="18.75" customHeight="1" x14ac:dyDescent="0.25">
      <c r="A1" s="24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.75" customHeight="1" x14ac:dyDescent="0.25">
      <c r="A2" s="25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8.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2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5.5" customHeight="1" x14ac:dyDescent="0.25">
      <c r="A5" s="23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17"/>
      <c r="H5" s="17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17"/>
      <c r="Q5" s="17"/>
    </row>
    <row r="6" spans="1:17" ht="30" customHeight="1" x14ac:dyDescent="0.25">
      <c r="A6" s="12">
        <v>45017</v>
      </c>
      <c r="B6" s="4">
        <v>102829</v>
      </c>
      <c r="C6" s="4">
        <v>218237.80666666664</v>
      </c>
      <c r="D6" s="4">
        <v>124653.51542999998</v>
      </c>
      <c r="E6" s="4">
        <v>15072598</v>
      </c>
      <c r="F6" s="4">
        <v>19652.232498199995</v>
      </c>
      <c r="G6" s="4">
        <v>23186.375541000005</v>
      </c>
      <c r="H6" s="5">
        <f>F6/G6*100</f>
        <v>84.757673589170267</v>
      </c>
      <c r="I6" s="4">
        <v>71577.296180000005</v>
      </c>
      <c r="J6" s="4">
        <v>3654.6960947213256</v>
      </c>
      <c r="K6" s="4">
        <v>75231.992274721313</v>
      </c>
      <c r="L6" s="4">
        <v>1815.0747511169998</v>
      </c>
      <c r="M6" s="4">
        <v>191.11579030716848</v>
      </c>
      <c r="N6" s="4">
        <v>6.7657246160694546</v>
      </c>
      <c r="O6" s="4">
        <v>2012.956266040238</v>
      </c>
      <c r="P6" s="14">
        <v>2833.970859</v>
      </c>
      <c r="Q6" s="5">
        <f>O6/P6*100</f>
        <v>71.02953298364308</v>
      </c>
    </row>
    <row r="7" spans="1:17" ht="30" customHeight="1" x14ac:dyDescent="0.25">
      <c r="A7" s="7">
        <v>45047</v>
      </c>
      <c r="B7" s="8">
        <v>102128</v>
      </c>
      <c r="C7" s="8">
        <v>213301.66333333339</v>
      </c>
      <c r="D7" s="8">
        <v>123492.3934</v>
      </c>
      <c r="E7" s="8">
        <v>15573011</v>
      </c>
      <c r="F7" s="8">
        <v>20871.414464999998</v>
      </c>
      <c r="G7" s="8">
        <v>23544.810730999994</v>
      </c>
      <c r="H7" s="9">
        <f t="shared" ref="H7:H17" si="0">F7/G7*100</f>
        <v>88.645496892951869</v>
      </c>
      <c r="I7" s="8">
        <v>77297.919930000018</v>
      </c>
      <c r="J7" s="8">
        <v>3771.7853290079915</v>
      </c>
      <c r="K7" s="8">
        <v>81069.705259007998</v>
      </c>
      <c r="L7" s="8">
        <v>1907.7187541859998</v>
      </c>
      <c r="M7" s="8">
        <v>151.86694627374177</v>
      </c>
      <c r="N7" s="8">
        <v>7.5854264651612198</v>
      </c>
      <c r="O7" s="8">
        <v>2067.1711269249031</v>
      </c>
      <c r="P7" s="15">
        <v>2744.6426719999999</v>
      </c>
      <c r="Q7" s="9">
        <f t="shared" ref="Q7:Q17" si="1">O7/P7*100</f>
        <v>75.316584851410596</v>
      </c>
    </row>
    <row r="8" spans="1:17" ht="30" customHeight="1" x14ac:dyDescent="0.25">
      <c r="A8" s="2">
        <v>45078</v>
      </c>
      <c r="B8" s="4">
        <v>97862</v>
      </c>
      <c r="C8" s="4">
        <v>206647.10256666667</v>
      </c>
      <c r="D8" s="4">
        <v>119727.33248</v>
      </c>
      <c r="E8" s="4">
        <v>14799622</v>
      </c>
      <c r="F8" s="4">
        <v>20398.362903000001</v>
      </c>
      <c r="G8" s="4">
        <v>22997.015715000001</v>
      </c>
      <c r="H8" s="5">
        <f t="shared" si="0"/>
        <v>88.700043326469498</v>
      </c>
      <c r="I8" s="4">
        <v>76802.050070000012</v>
      </c>
      <c r="J8" s="4">
        <v>4078.0656355431734</v>
      </c>
      <c r="K8" s="4">
        <v>80880.115705543183</v>
      </c>
      <c r="L8" s="4">
        <v>1876.7010110780004</v>
      </c>
      <c r="M8" s="4">
        <v>210.92948738071999</v>
      </c>
      <c r="N8" s="4">
        <v>4.9345389589464288</v>
      </c>
      <c r="O8" s="4">
        <v>2092.5650374176666</v>
      </c>
      <c r="P8" s="14">
        <v>2806.0198310000001</v>
      </c>
      <c r="Q8" s="5">
        <f t="shared" si="1"/>
        <v>74.574135731318947</v>
      </c>
    </row>
    <row r="9" spans="1:17" ht="30" customHeight="1" x14ac:dyDescent="0.25">
      <c r="A9" s="7">
        <v>45108</v>
      </c>
      <c r="B9" s="8">
        <v>101354</v>
      </c>
      <c r="C9" s="8">
        <v>216501.53626666561</v>
      </c>
      <c r="D9" s="8">
        <v>124746.60809800001</v>
      </c>
      <c r="E9" s="8">
        <v>14504586</v>
      </c>
      <c r="F9" s="8">
        <v>20211.100701000003</v>
      </c>
      <c r="G9" s="8">
        <v>24033.863756999999</v>
      </c>
      <c r="H9" s="9">
        <f t="shared" si="0"/>
        <v>84.09426343325012</v>
      </c>
      <c r="I9" s="8">
        <v>77872.331339999975</v>
      </c>
      <c r="J9" s="8">
        <v>4310.7618505474766</v>
      </c>
      <c r="K9" s="8">
        <v>82183.093190547486</v>
      </c>
      <c r="L9" s="8">
        <v>1859.872143243</v>
      </c>
      <c r="M9" s="8">
        <v>201.19162738123612</v>
      </c>
      <c r="N9" s="8">
        <v>8.1392844053085476</v>
      </c>
      <c r="O9" s="8">
        <v>2069.2030550295444</v>
      </c>
      <c r="P9" s="15">
        <v>2880.1334470000002</v>
      </c>
      <c r="Q9" s="9">
        <f t="shared" si="1"/>
        <v>71.843999353046101</v>
      </c>
    </row>
    <row r="10" spans="1:17" ht="30" customHeight="1" x14ac:dyDescent="0.25">
      <c r="A10" s="2">
        <v>45139</v>
      </c>
      <c r="B10" s="4">
        <v>103028</v>
      </c>
      <c r="C10" s="4">
        <v>219334.31499999997</v>
      </c>
      <c r="D10" s="4">
        <v>127695.72543000001</v>
      </c>
      <c r="E10" s="4">
        <v>14826671</v>
      </c>
      <c r="F10" s="4">
        <v>20596.661945000003</v>
      </c>
      <c r="G10" s="4">
        <v>24605.833317000001</v>
      </c>
      <c r="H10" s="5">
        <f t="shared" si="0"/>
        <v>83.706419041577078</v>
      </c>
      <c r="I10" s="4">
        <v>80021.277089999989</v>
      </c>
      <c r="J10" s="4">
        <v>4521.6000994439382</v>
      </c>
      <c r="K10" s="4">
        <v>84542.877189443941</v>
      </c>
      <c r="L10" s="4">
        <v>1896.3591131240005</v>
      </c>
      <c r="M10" s="4">
        <v>219.55681391950446</v>
      </c>
      <c r="N10" s="4">
        <v>8.3598671242378746</v>
      </c>
      <c r="O10" s="4">
        <v>2124.2757941677423</v>
      </c>
      <c r="P10" s="14">
        <v>2979.7094459999998</v>
      </c>
      <c r="Q10" s="5">
        <f t="shared" si="1"/>
        <v>71.291373627700423</v>
      </c>
    </row>
    <row r="11" spans="1:17" ht="30" customHeight="1" x14ac:dyDescent="0.25">
      <c r="A11" s="7">
        <v>45170</v>
      </c>
      <c r="B11" s="8">
        <v>100609</v>
      </c>
      <c r="C11" s="8">
        <v>215486.08999999997</v>
      </c>
      <c r="D11" s="8">
        <v>124021.185</v>
      </c>
      <c r="E11" s="8">
        <v>14516514</v>
      </c>
      <c r="F11" s="8">
        <v>19959.449266</v>
      </c>
      <c r="G11" s="8">
        <v>23904.935341</v>
      </c>
      <c r="H11" s="9">
        <f t="shared" si="0"/>
        <v>83.495098318743445</v>
      </c>
      <c r="I11" s="8">
        <v>76680.430304000023</v>
      </c>
      <c r="J11" s="8">
        <v>3884.6497368033783</v>
      </c>
      <c r="K11" s="8">
        <v>80565.080040803412</v>
      </c>
      <c r="L11" s="8">
        <v>1835.0372219489996</v>
      </c>
      <c r="M11" s="8">
        <v>171.75345451118372</v>
      </c>
      <c r="N11" s="8">
        <v>7.1081468962301688</v>
      </c>
      <c r="O11" s="8">
        <v>2013.8988233564135</v>
      </c>
      <c r="P11" s="15">
        <v>2766.6487980000002</v>
      </c>
      <c r="Q11" s="9">
        <f t="shared" si="1"/>
        <v>72.791993866812916</v>
      </c>
    </row>
    <row r="12" spans="1:17" ht="30" customHeight="1" x14ac:dyDescent="0.25">
      <c r="A12" s="2">
        <v>45200</v>
      </c>
      <c r="B12" s="4">
        <v>105733</v>
      </c>
      <c r="C12" s="4">
        <v>224198.48333333337</v>
      </c>
      <c r="D12" s="4">
        <v>129701.10876000002</v>
      </c>
      <c r="E12" s="4">
        <v>15034128</v>
      </c>
      <c r="F12" s="4">
        <v>20825.099776600004</v>
      </c>
      <c r="G12" s="4">
        <v>25046.2446332</v>
      </c>
      <c r="H12" s="5">
        <f t="shared" si="0"/>
        <v>83.146595753502041</v>
      </c>
      <c r="I12" s="4">
        <v>82844.980340000009</v>
      </c>
      <c r="J12" s="4">
        <v>4069.4280387903518</v>
      </c>
      <c r="K12" s="4">
        <v>86914.408378790351</v>
      </c>
      <c r="L12" s="4">
        <v>1910.5932883630001</v>
      </c>
      <c r="M12" s="4">
        <v>190.66234076072621</v>
      </c>
      <c r="N12" s="4">
        <v>7.6703184347877995</v>
      </c>
      <c r="O12" s="4">
        <v>2108.9259475585136</v>
      </c>
      <c r="P12" s="14">
        <v>2901.2769750000002</v>
      </c>
      <c r="Q12" s="5">
        <f t="shared" si="1"/>
        <v>72.689576546152182</v>
      </c>
    </row>
    <row r="13" spans="1:17" ht="30" customHeight="1" x14ac:dyDescent="0.25">
      <c r="A13" s="7">
        <v>45231</v>
      </c>
      <c r="B13" s="8">
        <v>104149</v>
      </c>
      <c r="C13" s="8">
        <v>223482.13999999998</v>
      </c>
      <c r="D13" s="8">
        <v>127576.96165</v>
      </c>
      <c r="E13" s="8">
        <v>15263301</v>
      </c>
      <c r="F13" s="8">
        <v>21222.623200000002</v>
      </c>
      <c r="G13" s="8">
        <v>24915.406864</v>
      </c>
      <c r="H13" s="9">
        <f t="shared" si="0"/>
        <v>85.178714182124551</v>
      </c>
      <c r="I13" s="8">
        <v>79055.235740000033</v>
      </c>
      <c r="J13" s="8">
        <v>4157.0526210390599</v>
      </c>
      <c r="K13" s="8">
        <v>83212.2883610391</v>
      </c>
      <c r="L13" s="8">
        <v>1939.6111089809999</v>
      </c>
      <c r="M13" s="8">
        <v>173.17395701116845</v>
      </c>
      <c r="N13" s="8">
        <v>7.4793247379409342</v>
      </c>
      <c r="O13" s="8">
        <v>2120.264390730109</v>
      </c>
      <c r="P13" s="15">
        <v>2881.1442240000001</v>
      </c>
      <c r="Q13" s="9">
        <f t="shared" si="1"/>
        <v>73.591053619192536</v>
      </c>
    </row>
    <row r="14" spans="1:17" ht="30" customHeight="1" x14ac:dyDescent="0.25">
      <c r="A14" s="2">
        <v>45261</v>
      </c>
      <c r="B14" s="4">
        <v>107621</v>
      </c>
      <c r="C14" s="4">
        <v>233169.72999999998</v>
      </c>
      <c r="D14" s="4">
        <v>134752.41831199999</v>
      </c>
      <c r="E14" s="4">
        <v>16578877</v>
      </c>
      <c r="F14" s="4">
        <v>23349.454385999998</v>
      </c>
      <c r="G14" s="4">
        <v>26167.101482666661</v>
      </c>
      <c r="H14" s="5">
        <f t="shared" si="0"/>
        <v>89.232100855598773</v>
      </c>
      <c r="I14" s="4">
        <v>79569.881580000016</v>
      </c>
      <c r="J14" s="4">
        <v>4444.8190475546635</v>
      </c>
      <c r="K14" s="4">
        <v>84014.700627554645</v>
      </c>
      <c r="L14" s="4">
        <v>2094.5968873689999</v>
      </c>
      <c r="M14" s="4">
        <v>172.88566016175793</v>
      </c>
      <c r="N14" s="4">
        <v>7.380366943694634</v>
      </c>
      <c r="O14" s="4">
        <v>2274.8629144744527</v>
      </c>
      <c r="P14" s="14">
        <v>2935.0678849999999</v>
      </c>
      <c r="Q14" s="5">
        <f t="shared" si="1"/>
        <v>77.506313434874869</v>
      </c>
    </row>
    <row r="15" spans="1:17" ht="30" customHeight="1" x14ac:dyDescent="0.25">
      <c r="A15" s="7">
        <v>45292</v>
      </c>
      <c r="B15" s="8">
        <v>104101</v>
      </c>
      <c r="C15" s="8">
        <v>227451.21666666662</v>
      </c>
      <c r="D15" s="8">
        <v>130558.905</v>
      </c>
      <c r="E15" s="8">
        <v>15861446</v>
      </c>
      <c r="F15" s="8">
        <v>22417.460586999998</v>
      </c>
      <c r="G15" s="8">
        <v>25424.549821999997</v>
      </c>
      <c r="H15" s="9">
        <f t="shared" si="0"/>
        <v>88.172497621185215</v>
      </c>
      <c r="I15" s="8">
        <v>74867.104118343952</v>
      </c>
      <c r="J15" s="8">
        <v>4410.9006146775391</v>
      </c>
      <c r="K15" s="8">
        <v>79278.004733021502</v>
      </c>
      <c r="L15" s="8">
        <v>2043.0442407510002</v>
      </c>
      <c r="M15" s="8">
        <v>158.89772435601961</v>
      </c>
      <c r="N15" s="8">
        <v>6.9104785145727279</v>
      </c>
      <c r="O15" s="8">
        <v>2208.8524436215926</v>
      </c>
      <c r="P15" s="15">
        <v>2970.362118</v>
      </c>
      <c r="Q15" s="9">
        <f t="shared" si="1"/>
        <v>74.363069412858451</v>
      </c>
    </row>
    <row r="16" spans="1:17" ht="30" customHeight="1" x14ac:dyDescent="0.25">
      <c r="A16" s="2">
        <v>45323</v>
      </c>
      <c r="B16" s="4">
        <v>101245</v>
      </c>
      <c r="C16" s="4">
        <v>213888.31333333332</v>
      </c>
      <c r="D16" s="4">
        <v>125348.36300000001</v>
      </c>
      <c r="E16" s="4">
        <v>15191812</v>
      </c>
      <c r="F16" s="4">
        <v>21348.301152000004</v>
      </c>
      <c r="G16" s="4">
        <v>24289.933849999998</v>
      </c>
      <c r="H16" s="5">
        <f t="shared" si="0"/>
        <v>87.889498933320496</v>
      </c>
      <c r="I16" s="4">
        <v>80501.952129999991</v>
      </c>
      <c r="J16" s="4">
        <v>4645.0623005302441</v>
      </c>
      <c r="K16" s="4">
        <v>85147.014430530253</v>
      </c>
      <c r="L16" s="4">
        <v>1938.3634215300003</v>
      </c>
      <c r="M16" s="4">
        <v>171.50006988604935</v>
      </c>
      <c r="N16" s="4">
        <v>6.7630572847574717</v>
      </c>
      <c r="O16" s="4">
        <v>2116.6265487008063</v>
      </c>
      <c r="P16" s="14">
        <v>2848.8351349999998</v>
      </c>
      <c r="Q16" s="5">
        <f t="shared" si="1"/>
        <v>74.297965603432743</v>
      </c>
    </row>
    <row r="17" spans="1:17" ht="30" customHeight="1" x14ac:dyDescent="0.25">
      <c r="A17" s="7">
        <v>45352</v>
      </c>
      <c r="B17" s="8">
        <v>110283</v>
      </c>
      <c r="C17" s="8">
        <v>238557.41666666666</v>
      </c>
      <c r="D17" s="8">
        <v>136832.37800000003</v>
      </c>
      <c r="E17" s="8">
        <v>16043275</v>
      </c>
      <c r="F17" s="8">
        <v>22671.672538999999</v>
      </c>
      <c r="G17" s="8">
        <v>26589.193416999999</v>
      </c>
      <c r="H17" s="9">
        <f t="shared" si="0"/>
        <v>85.266492230278402</v>
      </c>
      <c r="I17" s="8">
        <v>85726.606799999994</v>
      </c>
      <c r="J17" s="8">
        <v>4214.4201409950892</v>
      </c>
      <c r="K17" s="8">
        <v>89941.0269409951</v>
      </c>
      <c r="L17" s="8">
        <v>2038.0722257820009</v>
      </c>
      <c r="M17" s="8">
        <v>186.84019119370777</v>
      </c>
      <c r="N17" s="8">
        <v>6.5598518115332842</v>
      </c>
      <c r="O17" s="8">
        <v>2231.4722687872418</v>
      </c>
      <c r="P17" s="15">
        <v>3098.2053980000001</v>
      </c>
      <c r="Q17" s="9">
        <f t="shared" si="1"/>
        <v>72.024671773786693</v>
      </c>
    </row>
    <row r="18" spans="1:17" ht="30" customHeight="1" x14ac:dyDescent="0.25">
      <c r="A18" s="3" t="s">
        <v>20</v>
      </c>
      <c r="B18" s="10">
        <f>SUM(B6:B17)</f>
        <v>1240942</v>
      </c>
      <c r="C18" s="10">
        <f t="shared" ref="C18:G18" si="2">SUM(C6:C17)</f>
        <v>2650255.8138333322</v>
      </c>
      <c r="D18" s="10">
        <f t="shared" si="2"/>
        <v>1529106.8945599999</v>
      </c>
      <c r="E18" s="10">
        <f t="shared" si="2"/>
        <v>183265841</v>
      </c>
      <c r="F18" s="10">
        <f t="shared" si="2"/>
        <v>253523.8334188</v>
      </c>
      <c r="G18" s="10">
        <f t="shared" si="2"/>
        <v>294705.26447086665</v>
      </c>
      <c r="H18" s="3">
        <f>F18/G18*100</f>
        <v>86.02623162297202</v>
      </c>
      <c r="I18" s="10">
        <f>SUM(I6:I17)</f>
        <v>942817.06562234391</v>
      </c>
      <c r="J18" s="10">
        <f t="shared" ref="J18:P18" si="3">SUM(J6:J17)</f>
        <v>50163.241509654239</v>
      </c>
      <c r="K18" s="10">
        <f t="shared" si="3"/>
        <v>992980.30713199836</v>
      </c>
      <c r="L18" s="10">
        <f t="shared" si="3"/>
        <v>23155.044167473003</v>
      </c>
      <c r="M18" s="10">
        <f t="shared" si="3"/>
        <v>2200.3740631429837</v>
      </c>
      <c r="N18" s="10">
        <f t="shared" si="3"/>
        <v>85.656386193240536</v>
      </c>
      <c r="O18" s="13">
        <f t="shared" si="3"/>
        <v>25441.074616809223</v>
      </c>
      <c r="P18" s="13">
        <f t="shared" si="3"/>
        <v>34646.016788000008</v>
      </c>
      <c r="Q18" s="11">
        <f>O18/P18*100</f>
        <v>73.431456125198764</v>
      </c>
    </row>
    <row r="19" spans="1:17" x14ac:dyDescent="0.25">
      <c r="A19" s="18" t="s">
        <v>19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2020-06-11T07:28:47Z</cp:lastPrinted>
  <dcterms:created xsi:type="dcterms:W3CDTF">2018-10-29T04:00:10Z</dcterms:created>
  <dcterms:modified xsi:type="dcterms:W3CDTF">2025-01-28T07:39:30Z</dcterms:modified>
</cp:coreProperties>
</file>