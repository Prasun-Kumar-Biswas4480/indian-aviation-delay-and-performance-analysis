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LLIANCE AIR (NATIONAL)\"/>
    </mc:Choice>
  </mc:AlternateContent>
  <bookViews>
    <workbookView xWindow="0" yWindow="0" windowWidth="24000" windowHeight="10725"/>
  </bookViews>
  <sheets>
    <sheet name="Alliance Air" sheetId="1" r:id="rId1"/>
  </sheets>
  <definedNames>
    <definedName name="_xlnm.Print_Area" localSheetId="0">'Alliance Air'!$A$1:$Q$21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N18" i="1"/>
  <c r="J18" i="1"/>
  <c r="N17" i="1"/>
  <c r="J17" i="1"/>
  <c r="C18" i="1" l="1"/>
  <c r="D18" i="1"/>
  <c r="E18" i="1"/>
  <c r="F18" i="1"/>
  <c r="G18" i="1"/>
  <c r="H18" i="1"/>
  <c r="I18" i="1"/>
  <c r="K18" i="1"/>
  <c r="L18" i="1"/>
  <c r="M18" i="1"/>
  <c r="O18" i="1"/>
  <c r="P18" i="1"/>
  <c r="Q18" i="1"/>
  <c r="B18" i="1" l="1"/>
  <c r="Q17" i="1" l="1"/>
  <c r="P17" i="1"/>
  <c r="O17" i="1"/>
  <c r="M17" i="1"/>
  <c r="L17" i="1"/>
  <c r="K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<sst xmlns="http://schemas.openxmlformats.org/spreadsheetml/2006/main" count="40" uniqueCount="38">
  <si>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</si>
  <si>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</si>
  <si>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</si>
  <si>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</si>
  <si>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</si>
  <si>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</si>
  <si>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</si>
  <si>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</si>
  <si>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</si>
  <si>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</si>
  <si>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</si>
  <si>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</si>
  <si>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</si>
  <si>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</si>
  <si>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</si>
  <si>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</si>
  <si>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</si>
  <si>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</si>
  <si>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</si>
  <si>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</si>
  <si>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</si>
  <si>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</si>
  <si>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</si>
  <si>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</si>
  <si>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</si>
  <si>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 तालिका- 1.06 (एलाइंस एयर) </t>
  </si>
  <si>
    <t>TABLE - 1.06 (ALLIANCE AIR)</t>
  </si>
  <si>
    <t>SOURCE: ICAO ATR FORM 'A' FURNISHED BY ALLIANCE AIR</t>
  </si>
  <si>
    <t>2019-20</t>
  </si>
  <si>
    <t xml:space="preserve">YEAR ON YEAR GROWTH AND CAGR FOR LAST TEN YEARS OF  ALLIANCE AIR ON TOTAL (DOMESTIC + INTERNATIONAL) SCHEDULED SERVICES (ALL AIR TRAFFIC AND OPERATING STATISTICS)
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</si>
  <si>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</si>
  <si>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</si>
  <si>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</si>
  <si>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</si>
  <si>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Note: Growth has been calculated with respect to preceeding year while Compound Annual Growth Rate (CAGR) has been calculating taking 2013-14 as a Base Year</t>
  </si>
  <si>
    <t>YOY growth</t>
  </si>
  <si>
    <t>CAGR last 10 years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</si>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</sst>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B1mmmm/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6" fillId="6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4" fillId="4" borderId="1" xfId="3" applyNumberFormat="1" applyBorder="1" applyAlignment="1" applyProtection="1">
      <alignment horizontal="right" vertical="center" wrapText="1"/>
    </xf>
    <xf numFmtId="164" fontId="0" fillId="4" borderId="1" xfId="3" applyNumberFormat="1" applyFont="1" applyBorder="1" applyAlignment="1" applyProtection="1">
      <alignment horizontal="right" vertical="center" wrapText="1"/>
    </xf>
    <xf numFmtId="167" fontId="4" fillId="5" borderId="1" xfId="4" applyNumberFormat="1" applyBorder="1" applyAlignment="1" applyProtection="1">
      <alignment horizontal="center" vertical="center" wrapText="1"/>
    </xf>
    <xf numFmtId="165" fontId="4" fillId="5" borderId="1" xfId="4" applyNumberFormat="1" applyBorder="1" applyAlignment="1">
      <alignment horizontal="center" vertical="center"/>
    </xf>
    <xf numFmtId="166" fontId="4" fillId="5" borderId="1" xfId="4" applyNumberFormat="1" applyBorder="1" applyAlignment="1">
      <alignment horizontal="center" vertical="center"/>
    </xf>
    <xf numFmtId="43" fontId="4" fillId="5" borderId="1" xfId="4" applyNumberFormat="1" applyBorder="1" applyAlignment="1">
      <alignment horizontal="center" vertical="center"/>
    </xf>
    <xf numFmtId="167" fontId="4" fillId="7" borderId="1" xfId="4" applyNumberFormat="1" applyFill="1" applyBorder="1" applyAlignment="1" applyProtection="1">
      <alignment horizontal="center" vertical="center" wrapText="1"/>
    </xf>
    <xf numFmtId="165" fontId="0" fillId="0" borderId="1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center" vertical="center"/>
    </xf>
    <xf numFmtId="43" fontId="0" fillId="0" borderId="1" xfId="5" applyNumberFormat="1" applyFont="1" applyBorder="1" applyAlignment="1">
      <alignment horizontal="center" vertical="center"/>
    </xf>
    <xf numFmtId="167" fontId="0" fillId="5" borderId="1" xfId="4" applyNumberFormat="1" applyFont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top" wrapText="1"/>
    </xf>
    <xf numFmtId="0" fontId="3" fillId="3" borderId="1" xfId="2" applyFont="1" applyBorder="1" applyAlignment="1">
      <alignment vertical="top"/>
    </xf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A4" zoomScaleNormal="100" zoomScaleSheetLayoutView="100" workbookViewId="0">
      <selection activeCell="E15" sqref="E15"/>
    </sheetView>
  </sheetViews>
  <sheetFormatPr defaultColWidth="9.140625" defaultRowHeight="15" x14ac:dyDescent="0.25"/>
  <cols>
    <col min="1" max="1" width="13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10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710937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29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25" t="s">
        <v>3</v>
      </c>
      <c r="H4" s="2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25" t="s">
        <v>7</v>
      </c>
      <c r="Q4" s="25" t="s">
        <v>8</v>
      </c>
    </row>
    <row r="5" spans="1:17" ht="90" x14ac:dyDescent="0.25">
      <c r="A5" s="23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26"/>
      <c r="H5" s="26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26"/>
      <c r="Q5" s="26"/>
    </row>
    <row r="6" spans="1:17" x14ac:dyDescent="0.25">
      <c r="A6" s="9" t="s">
        <v>19</v>
      </c>
      <c r="B6" s="10">
        <v>9097</v>
      </c>
      <c r="C6" s="10">
        <v>14119</v>
      </c>
      <c r="D6" s="10">
        <v>6446</v>
      </c>
      <c r="E6" s="10">
        <v>363801</v>
      </c>
      <c r="F6" s="11">
        <v>249.57599999999999</v>
      </c>
      <c r="G6" s="11">
        <v>340.892</v>
      </c>
      <c r="H6" s="11">
        <f t="shared" ref="H6:H16" si="0">F6/G6*100</f>
        <v>73.21263039320371</v>
      </c>
      <c r="I6" s="11">
        <v>161</v>
      </c>
      <c r="J6" s="11">
        <v>52</v>
      </c>
      <c r="K6" s="11">
        <v>213</v>
      </c>
      <c r="L6" s="11">
        <v>22.593</v>
      </c>
      <c r="M6" s="12">
        <v>0.104</v>
      </c>
      <c r="N6" s="11">
        <v>0.03</v>
      </c>
      <c r="O6" s="11">
        <v>22.727</v>
      </c>
      <c r="P6" s="11">
        <v>36.814999999999998</v>
      </c>
      <c r="Q6" s="11">
        <f t="shared" ref="Q6:Q16" si="1">O6/P6*100</f>
        <v>61.73298927067772</v>
      </c>
    </row>
    <row r="7" spans="1:17" x14ac:dyDescent="0.25">
      <c r="A7" s="13" t="s">
        <v>20</v>
      </c>
      <c r="B7" s="14">
        <v>9059</v>
      </c>
      <c r="C7" s="14">
        <v>13164</v>
      </c>
      <c r="D7" s="14">
        <v>5519</v>
      </c>
      <c r="E7" s="14">
        <v>310492</v>
      </c>
      <c r="F7" s="15">
        <v>197.91499999999999</v>
      </c>
      <c r="G7" s="15">
        <v>289.61399999999998</v>
      </c>
      <c r="H7" s="15">
        <f t="shared" si="0"/>
        <v>68.337511308155001</v>
      </c>
      <c r="I7" s="15">
        <v>168</v>
      </c>
      <c r="J7" s="15">
        <v>52</v>
      </c>
      <c r="K7" s="15">
        <v>220</v>
      </c>
      <c r="L7" s="15">
        <v>17.876000000000001</v>
      </c>
      <c r="M7" s="16">
        <v>0.108</v>
      </c>
      <c r="N7" s="15">
        <v>2.8000000000000001E-2</v>
      </c>
      <c r="O7" s="15">
        <v>18.012</v>
      </c>
      <c r="P7" s="15">
        <v>30.779</v>
      </c>
      <c r="Q7" s="15">
        <f t="shared" si="1"/>
        <v>58.520419766724061</v>
      </c>
    </row>
    <row r="8" spans="1:17" x14ac:dyDescent="0.25">
      <c r="A8" s="9" t="s">
        <v>21</v>
      </c>
      <c r="B8" s="10">
        <v>10796</v>
      </c>
      <c r="C8" s="10">
        <v>16133</v>
      </c>
      <c r="D8" s="10">
        <v>7318</v>
      </c>
      <c r="E8" s="10">
        <v>400340</v>
      </c>
      <c r="F8" s="11">
        <v>227.98400000000001</v>
      </c>
      <c r="G8" s="11">
        <v>342.601</v>
      </c>
      <c r="H8" s="11">
        <f t="shared" si="0"/>
        <v>66.545048029632142</v>
      </c>
      <c r="I8" s="11">
        <v>127</v>
      </c>
      <c r="J8" s="11">
        <v>45</v>
      </c>
      <c r="K8" s="11">
        <v>172</v>
      </c>
      <c r="L8" s="11">
        <v>20.065000000000001</v>
      </c>
      <c r="M8" s="12">
        <v>7.2999999999999995E-2</v>
      </c>
      <c r="N8" s="11">
        <v>2.4E-2</v>
      </c>
      <c r="O8" s="11">
        <v>20.161999999999999</v>
      </c>
      <c r="P8" s="11">
        <v>32.779000000000003</v>
      </c>
      <c r="Q8" s="11">
        <f t="shared" si="1"/>
        <v>61.50889288873973</v>
      </c>
    </row>
    <row r="9" spans="1:17" x14ac:dyDescent="0.25">
      <c r="A9" s="13" t="s">
        <v>22</v>
      </c>
      <c r="B9" s="14">
        <v>12686</v>
      </c>
      <c r="C9" s="14">
        <v>22938</v>
      </c>
      <c r="D9" s="14">
        <v>9324</v>
      </c>
      <c r="E9" s="14">
        <v>625411</v>
      </c>
      <c r="F9" s="15">
        <v>323.77</v>
      </c>
      <c r="G9" s="15">
        <v>470.59300000000002</v>
      </c>
      <c r="H9" s="15">
        <f t="shared" si="0"/>
        <v>68.800428395662479</v>
      </c>
      <c r="I9" s="15">
        <v>64</v>
      </c>
      <c r="J9" s="15">
        <v>33</v>
      </c>
      <c r="K9" s="15">
        <v>97</v>
      </c>
      <c r="L9" s="15">
        <v>29.280999999999999</v>
      </c>
      <c r="M9" s="16">
        <v>5.6000000000000001E-2</v>
      </c>
      <c r="N9" s="15">
        <v>2.4E-2</v>
      </c>
      <c r="O9" s="15">
        <v>29.361000000000001</v>
      </c>
      <c r="P9" s="15">
        <v>45.115000000000002</v>
      </c>
      <c r="Q9" s="15">
        <f t="shared" si="1"/>
        <v>65.080350216114368</v>
      </c>
    </row>
    <row r="10" spans="1:17" x14ac:dyDescent="0.25">
      <c r="A10" s="9" t="s">
        <v>23</v>
      </c>
      <c r="B10" s="10">
        <v>20828</v>
      </c>
      <c r="C10" s="10">
        <v>38202</v>
      </c>
      <c r="D10" s="10">
        <v>17564</v>
      </c>
      <c r="E10" s="10">
        <v>1281251</v>
      </c>
      <c r="F10" s="11">
        <v>570.33299999999997</v>
      </c>
      <c r="G10" s="11">
        <v>729.71299999999997</v>
      </c>
      <c r="H10" s="11">
        <f t="shared" si="0"/>
        <v>78.158536301258167</v>
      </c>
      <c r="I10" s="11">
        <v>76</v>
      </c>
      <c r="J10" s="11">
        <v>38</v>
      </c>
      <c r="K10" s="11">
        <v>114</v>
      </c>
      <c r="L10" s="11">
        <v>51.292999999999999</v>
      </c>
      <c r="M10" s="12">
        <v>5.1999999999999998E-2</v>
      </c>
      <c r="N10" s="11">
        <v>2.4E-2</v>
      </c>
      <c r="O10" s="11">
        <v>51.369</v>
      </c>
      <c r="P10" s="11">
        <v>67.221999999999994</v>
      </c>
      <c r="Q10" s="11">
        <f t="shared" si="1"/>
        <v>76.41694683288209</v>
      </c>
    </row>
    <row r="11" spans="1:17" x14ac:dyDescent="0.25">
      <c r="A11" s="13" t="s">
        <v>24</v>
      </c>
      <c r="B11" s="14">
        <v>28983</v>
      </c>
      <c r="C11" s="14">
        <v>51698</v>
      </c>
      <c r="D11" s="14">
        <v>23821</v>
      </c>
      <c r="E11" s="14">
        <v>1597382</v>
      </c>
      <c r="F11" s="15">
        <v>679.84728900000005</v>
      </c>
      <c r="G11" s="15">
        <v>984.52216399999998</v>
      </c>
      <c r="H11" s="15">
        <f t="shared" si="0"/>
        <v>69.053528082888349</v>
      </c>
      <c r="I11" s="15">
        <v>83.3</v>
      </c>
      <c r="J11" s="15">
        <v>15</v>
      </c>
      <c r="K11" s="15">
        <v>98.3</v>
      </c>
      <c r="L11" s="15">
        <v>61.920999999999999</v>
      </c>
      <c r="M11" s="16">
        <v>5.1799999999999999E-2</v>
      </c>
      <c r="N11" s="15">
        <v>8.9999999999999993E-3</v>
      </c>
      <c r="O11" s="15">
        <v>61.9818</v>
      </c>
      <c r="P11" s="15">
        <v>91.338999999999999</v>
      </c>
      <c r="Q11" s="15">
        <f t="shared" si="1"/>
        <v>67.859074436987484</v>
      </c>
    </row>
    <row r="12" spans="1:17" x14ac:dyDescent="0.25">
      <c r="A12" s="9" t="s">
        <v>28</v>
      </c>
      <c r="B12" s="10">
        <v>30669</v>
      </c>
      <c r="C12" s="10">
        <v>53661.600000000006</v>
      </c>
      <c r="D12" s="10">
        <v>20921.399999999998</v>
      </c>
      <c r="E12" s="10">
        <v>1639757</v>
      </c>
      <c r="F12" s="11">
        <v>672.04899999999986</v>
      </c>
      <c r="G12" s="11">
        <v>1028.5710000000001</v>
      </c>
      <c r="H12" s="11">
        <f t="shared" si="0"/>
        <v>65.338124446440716</v>
      </c>
      <c r="I12" s="11">
        <v>225</v>
      </c>
      <c r="J12" s="11">
        <v>0</v>
      </c>
      <c r="K12" s="11">
        <v>225</v>
      </c>
      <c r="L12" s="11">
        <v>61.1569</v>
      </c>
      <c r="M12" s="12">
        <v>0.1089</v>
      </c>
      <c r="N12" s="11">
        <v>0</v>
      </c>
      <c r="O12" s="11">
        <v>61.265800000000006</v>
      </c>
      <c r="P12" s="11">
        <v>95.361299999999986</v>
      </c>
      <c r="Q12" s="11">
        <f t="shared" si="1"/>
        <v>64.245978190314119</v>
      </c>
    </row>
    <row r="13" spans="1:17" x14ac:dyDescent="0.25">
      <c r="A13" s="13" t="s">
        <v>30</v>
      </c>
      <c r="B13" s="14">
        <v>15557</v>
      </c>
      <c r="C13" s="14">
        <v>29081</v>
      </c>
      <c r="D13" s="14">
        <v>12190</v>
      </c>
      <c r="E13" s="14">
        <v>705273</v>
      </c>
      <c r="F13" s="15">
        <v>282.64299999999997</v>
      </c>
      <c r="G13" s="15">
        <v>552.82900000000006</v>
      </c>
      <c r="H13" s="15">
        <f t="shared" si="0"/>
        <v>51.126659419097031</v>
      </c>
      <c r="I13" s="15">
        <v>355.36799999999999</v>
      </c>
      <c r="J13" s="15">
        <v>0</v>
      </c>
      <c r="K13" s="15">
        <v>355.36799999999999</v>
      </c>
      <c r="L13" s="15">
        <v>25.717600000000001</v>
      </c>
      <c r="M13" s="16">
        <v>0.13</v>
      </c>
      <c r="N13" s="15">
        <v>0</v>
      </c>
      <c r="O13" s="15">
        <v>25.8476</v>
      </c>
      <c r="P13" s="15">
        <v>51.180900000000001</v>
      </c>
      <c r="Q13" s="15">
        <f t="shared" si="1"/>
        <v>50.502433525006396</v>
      </c>
    </row>
    <row r="14" spans="1:17" x14ac:dyDescent="0.25">
      <c r="A14" s="17" t="s">
        <v>37</v>
      </c>
      <c r="B14" s="10">
        <v>27947</v>
      </c>
      <c r="C14" s="10">
        <v>38688</v>
      </c>
      <c r="D14" s="10">
        <v>20976</v>
      </c>
      <c r="E14" s="10">
        <v>1077709</v>
      </c>
      <c r="F14" s="11">
        <v>458.31899999999996</v>
      </c>
      <c r="G14" s="11">
        <v>766.375</v>
      </c>
      <c r="H14" s="11">
        <f t="shared" si="0"/>
        <v>59.803490458326536</v>
      </c>
      <c r="I14" s="11">
        <v>509.43999999999994</v>
      </c>
      <c r="J14" s="11">
        <v>0</v>
      </c>
      <c r="K14" s="11">
        <v>509.43999999999994</v>
      </c>
      <c r="L14" s="11">
        <v>41.707000000000001</v>
      </c>
      <c r="M14" s="12">
        <v>0.25699999999999995</v>
      </c>
      <c r="N14" s="11">
        <v>0</v>
      </c>
      <c r="O14" s="11">
        <v>41.963999999999999</v>
      </c>
      <c r="P14" s="11">
        <v>70.846999999999994</v>
      </c>
      <c r="Q14" s="11">
        <f t="shared" si="1"/>
        <v>59.231865851765079</v>
      </c>
    </row>
    <row r="15" spans="1:17" ht="18" customHeight="1" x14ac:dyDescent="0.25">
      <c r="A15" s="13" t="s">
        <v>32</v>
      </c>
      <c r="B15" s="14">
        <v>39414</v>
      </c>
      <c r="C15" s="14">
        <v>51620.165666666668</v>
      </c>
      <c r="D15" s="14">
        <v>22335.269</v>
      </c>
      <c r="E15" s="14">
        <v>1601465</v>
      </c>
      <c r="F15" s="15">
        <v>645.142923</v>
      </c>
      <c r="G15" s="15">
        <v>965.24548879999998</v>
      </c>
      <c r="H15" s="15">
        <f t="shared" si="0"/>
        <v>66.837186030472537</v>
      </c>
      <c r="I15" s="15">
        <v>399.85599999999999</v>
      </c>
      <c r="J15" s="15">
        <v>59.530429999999996</v>
      </c>
      <c r="K15" s="15">
        <v>459.38643000000002</v>
      </c>
      <c r="L15" s="15">
        <v>57.968141459999998</v>
      </c>
      <c r="M15" s="16">
        <v>0.25446795835009911</v>
      </c>
      <c r="N15" s="15">
        <v>4.5914667000000006E-2</v>
      </c>
      <c r="O15" s="15">
        <v>58.268524085350087</v>
      </c>
      <c r="P15" s="15">
        <v>90.650067149999998</v>
      </c>
      <c r="Q15" s="15">
        <f t="shared" si="1"/>
        <v>64.278522804547194</v>
      </c>
    </row>
    <row r="16" spans="1:17" x14ac:dyDescent="0.25">
      <c r="A16" s="17" t="s">
        <v>33</v>
      </c>
      <c r="B16" s="10">
        <v>36509</v>
      </c>
      <c r="C16" s="10">
        <v>49054</v>
      </c>
      <c r="D16" s="10">
        <v>13774.935000000001</v>
      </c>
      <c r="E16" s="10">
        <v>1657165</v>
      </c>
      <c r="F16" s="11">
        <v>666.708347</v>
      </c>
      <c r="G16" s="11">
        <v>899.5591026666666</v>
      </c>
      <c r="H16" s="11">
        <f t="shared" si="0"/>
        <v>74.115013124051515</v>
      </c>
      <c r="I16" s="11">
        <v>196.637</v>
      </c>
      <c r="J16" s="11">
        <v>73.667000000000002</v>
      </c>
      <c r="K16" s="11">
        <v>270.30400000000003</v>
      </c>
      <c r="L16" s="11">
        <v>60.727618102000001</v>
      </c>
      <c r="M16" s="12">
        <v>0.10032507326562495</v>
      </c>
      <c r="N16" s="11">
        <v>4.1969291428835299E-2</v>
      </c>
      <c r="O16" s="11">
        <v>60.869912466694458</v>
      </c>
      <c r="P16" s="11">
        <v>90.252588799999998</v>
      </c>
      <c r="Q16" s="11">
        <f t="shared" si="1"/>
        <v>67.443951775812621</v>
      </c>
    </row>
    <row r="17" spans="1:17" ht="30" x14ac:dyDescent="0.25">
      <c r="A17" s="2" t="s">
        <v>35</v>
      </c>
      <c r="B17" s="7">
        <f t="shared" ref="B17:Q17" si="2">(B16-B15)/B15</f>
        <v>-7.3704774953062366E-2</v>
      </c>
      <c r="C17" s="7">
        <f t="shared" si="2"/>
        <v>-4.9712464761106911E-2</v>
      </c>
      <c r="D17" s="7">
        <f t="shared" si="2"/>
        <v>-0.38326531907898664</v>
      </c>
      <c r="E17" s="7">
        <f t="shared" si="2"/>
        <v>3.4780653963714471E-2</v>
      </c>
      <c r="F17" s="7">
        <f t="shared" si="2"/>
        <v>3.3427358855178835E-2</v>
      </c>
      <c r="G17" s="7">
        <f t="shared" si="2"/>
        <v>-6.8051482131240154E-2</v>
      </c>
      <c r="H17" s="5">
        <f t="shared" si="2"/>
        <v>0.10888889143628604</v>
      </c>
      <c r="I17" s="7">
        <f t="shared" si="2"/>
        <v>-0.50823046296666796</v>
      </c>
      <c r="J17" s="8">
        <f t="shared" si="2"/>
        <v>0.23746796386318741</v>
      </c>
      <c r="K17" s="7">
        <f t="shared" si="2"/>
        <v>-0.41159776965984818</v>
      </c>
      <c r="L17" s="7">
        <f t="shared" si="2"/>
        <v>4.7603331286792006E-2</v>
      </c>
      <c r="M17" s="7">
        <f t="shared" si="2"/>
        <v>-0.60574575315452139</v>
      </c>
      <c r="N17" s="8">
        <f t="shared" si="2"/>
        <v>-8.5928437010437342E-2</v>
      </c>
      <c r="O17" s="7">
        <f t="shared" si="2"/>
        <v>4.4644830501179865E-2</v>
      </c>
      <c r="P17" s="7">
        <f t="shared" si="2"/>
        <v>-4.3847551634163366E-3</v>
      </c>
      <c r="Q17" s="5">
        <f t="shared" si="2"/>
        <v>4.924551519160765E-2</v>
      </c>
    </row>
    <row r="18" spans="1:17" ht="30" x14ac:dyDescent="0.25">
      <c r="A18" s="3" t="s">
        <v>36</v>
      </c>
      <c r="B18" s="4">
        <f t="shared" ref="B18:Q18" si="3">(((B16/B6)^(1/10))-1)</f>
        <v>0.14907975807874196</v>
      </c>
      <c r="C18" s="4">
        <f t="shared" si="3"/>
        <v>0.13262736135540742</v>
      </c>
      <c r="D18" s="4">
        <f t="shared" si="3"/>
        <v>7.8896851471195184E-2</v>
      </c>
      <c r="E18" s="4">
        <f t="shared" si="3"/>
        <v>0.16372452335728616</v>
      </c>
      <c r="F18" s="4">
        <f t="shared" si="3"/>
        <v>0.10324840246409028</v>
      </c>
      <c r="G18" s="4">
        <f t="shared" si="3"/>
        <v>0.10189773236630151</v>
      </c>
      <c r="H18" s="4">
        <f t="shared" si="3"/>
        <v>1.2257671997275565E-3</v>
      </c>
      <c r="I18" s="4">
        <f t="shared" si="3"/>
        <v>2.0196751621451625E-2</v>
      </c>
      <c r="J18" s="4">
        <f t="shared" si="3"/>
        <v>3.5444830092886459E-2</v>
      </c>
      <c r="K18" s="4">
        <f t="shared" si="3"/>
        <v>2.4111603614720201E-2</v>
      </c>
      <c r="L18" s="4">
        <f t="shared" si="3"/>
        <v>0.10392923428874745</v>
      </c>
      <c r="M18" s="4">
        <f t="shared" si="3"/>
        <v>-3.591061929547279E-3</v>
      </c>
      <c r="N18" s="4">
        <f t="shared" si="3"/>
        <v>3.4144051597446712E-2</v>
      </c>
      <c r="O18" s="4">
        <f t="shared" si="3"/>
        <v>0.10353485926914541</v>
      </c>
      <c r="P18" s="4">
        <f t="shared" si="3"/>
        <v>9.3814021669590852E-2</v>
      </c>
      <c r="Q18" s="4">
        <f t="shared" si="3"/>
        <v>8.8871027496215671E-3</v>
      </c>
    </row>
    <row r="19" spans="1:17" x14ac:dyDescent="0.25">
      <c r="A19" s="28" t="s">
        <v>27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17" ht="15" customHeight="1" x14ac:dyDescent="0.25">
      <c r="A20" s="30" t="s">
        <v>34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7" x14ac:dyDescent="0.25">
      <c r="A21" s="27" t="s">
        <v>31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2022-04-25T07:16:58Z</cp:lastPrinted>
  <dcterms:created xsi:type="dcterms:W3CDTF">2018-10-29T04:00:16Z</dcterms:created>
  <dcterms:modified xsi:type="dcterms:W3CDTF">2024-11-19T07:22:32Z</dcterms:modified>
</cp:coreProperties>
</file>