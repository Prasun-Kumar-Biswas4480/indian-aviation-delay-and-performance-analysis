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FLY 91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E" sheetId="5" r:id="rId4"/>
  </sheets>
  <definedNames>
    <definedName name="\a" localSheetId="3">E!#REF!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E!$A$1:$H$17</definedName>
    <definedName name="Print_Area_MI" localSheetId="3">E!$A$6:$H$17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<sst xmlns="http://schemas.openxmlformats.org/spreadsheetml/2006/main" count="884" uniqueCount="195">
  <si>
    <t>TOTAL</t>
  </si>
  <si>
    <t>ALL OTHER PERSONNEL</t>
  </si>
  <si>
    <t>TICKETING  AND SALES PERSONNEL</t>
  </si>
  <si>
    <t>MAINTENANCE  AND OVERHAUL PERSONNEL</t>
  </si>
  <si>
    <t xml:space="preserve"> PILOTS  &amp; CO-PILOTS</t>
  </si>
  <si>
    <t xml:space="preserve"> CATEGORY OF STAFF</t>
  </si>
  <si>
    <t xml:space="preserve"> YEAR</t>
  </si>
  <si>
    <t>2014-15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</si>
  <si>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</si>
  <si>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</si>
  <si>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</si>
  <si>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</si>
  <si>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</si>
  <si>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</si>
  <si>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</si>
  <si>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</si>
  <si>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</si>
  <si>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</si>
  <si>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</si>
  <si>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</si>
  <si>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</si>
  <si>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</si>
  <si>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</si>
  <si>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</si>
  <si>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</si>
  <si>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</si>
  <si>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</si>
  <si>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</si>
  <si>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</si>
  <si>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</si>
  <si>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</si>
  <si>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</si>
  <si>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</si>
  <si>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</si>
  <si>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</si>
  <si>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</si>
  <si>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</si>
  <si>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</si>
  <si>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</si>
  <si>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</si>
  <si>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</si>
  <si>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</si>
  <si>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</si>
  <si>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</si>
  <si>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</si>
  <si>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</si>
  <si>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</si>
  <si>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</si>
  <si>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</si>
  <si>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</si>
  <si>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</si>
  <si>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</si>
  <si>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</si>
  <si>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</si>
  <si>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</si>
  <si>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</si>
  <si>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</si>
  <si>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</si>
  <si>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</si>
  <si>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</si>
  <si>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</si>
  <si>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</si>
  <si>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</si>
  <si>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</si>
  <si>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</si>
  <si>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</si>
  <si>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</si>
  <si>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</si>
  <si>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</si>
  <si>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</si>
  <si>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</si>
  <si>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</si>
  <si>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</si>
  <si>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</si>
  <si>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</si>
  <si>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</si>
  <si>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</si>
  <si>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</si>
  <si>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</si>
  <si>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</si>
  <si>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</si>
  <si>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</si>
  <si>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</si>
  <si>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</si>
  <si>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</si>
  <si>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</si>
  <si>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</si>
  <si>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</si>
  <si>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</si>
  <si>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</si>
  <si>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</si>
  <si>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</si>
  <si>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</si>
  <si>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</si>
  <si>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</si>
  <si>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</si>
  <si>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</si>
  <si>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</si>
  <si>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</si>
  <si>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</si>
  <si>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</si>
  <si>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</si>
  <si>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</si>
  <si>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</si>
  <si>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</si>
  <si>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</si>
  <si>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</si>
  <si>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</si>
  <si>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</si>
  <si>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</si>
  <si>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</si>
  <si>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</si>
  <si>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</si>
  <si>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</si>
  <si>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</si>
  <si>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</si>
  <si>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</si>
  <si>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</si>
  <si>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</si>
  <si>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</si>
  <si>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</si>
  <si>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</si>
  <si>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</si>
  <si>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</si>
  <si>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</si>
  <si>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</si>
  <si>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</si>
  <si>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</si>
  <si>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</si>
  <si>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</si>
  <si>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</si>
  <si>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</si>
  <si>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</si>
  <si>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</si>
  <si>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</si>
  <si>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</si>
  <si>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</si>
  <si>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</si>
  <si>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</si>
  <si>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</si>
  <si>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</si>
  <si>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</si>
  <si>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</si>
  <si>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</si>
  <si>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</si>
  <si>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</si>
  <si>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</si>
  <si>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</si>
  <si>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</si>
  <si>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</si>
  <si>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</si>
  <si>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</si>
  <si>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</si>
  <si>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</si>
  <si>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</si>
  <si>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</si>
  <si>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</si>
  <si>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</si>
  <si>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</si>
  <si>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</si>
  <si>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</si>
  <si>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</si>
  <si>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</si>
  <si>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</si>
  <si>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</si>
  <si>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</si>
  <si>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</si>
  <si>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</si>
  <si>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</si>
  <si>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</si>
  <si>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</si>
  <si>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</si>
  <si>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</si>
  <si>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</si>
  <si>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</si>
  <si>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</si>
  <si>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</si>
  <si>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</si>
  <si>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</si>
  <si>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</si>
  <si>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</si>
  <si>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</si>
  <si>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</si>
  <si>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</si>
  <si>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</si>
  <si>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OTHER FLIGHT CREW</t>
  </si>
  <si>
    <t>CABIN CREW</t>
  </si>
  <si>
    <t>2020-21</t>
  </si>
  <si>
    <t>2021-22</t>
  </si>
  <si>
    <t>2022-23</t>
  </si>
  <si>
    <t>2023-24</t>
  </si>
  <si>
    <t>SOURCE : ICAO ATR FORM-D FURNISHED BY FLY 91</t>
  </si>
  <si>
    <t>TIME SERIES DATA OF STAFF STRENGTH OF FLY 91 (AS ON 31ST MARCH)</t>
  </si>
  <si>
    <t xml:space="preserve">तालिका 1E (फ्लाई 91) </t>
  </si>
  <si>
    <t>TABLE - 1E (FLY 91)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</si>
</sst>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9" formatCode="#,##0.0_);[Red]\(#,##0.0\)"/>
    <numFmt numFmtId="170" formatCode="_-* #,##0.00_-;\-* #,##0.00_-;_-* &quot;-&quot;??_-;_-@_-"/>
    <numFmt numFmtId="171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5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1" fontId="14" fillId="0" borderId="0" applyFont="0" applyFill="0" applyBorder="0" applyAlignment="0" applyProtection="0"/>
  </cellStyleXfs>
  <cellXfs count="4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9" fontId="11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wrapText="1"/>
    </xf>
    <xf numFmtId="169" fontId="9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vertical="top" wrapText="1"/>
    </xf>
    <xf numFmtId="169" fontId="8" fillId="4" borderId="12" xfId="7" applyNumberFormat="1" applyFont="1" applyFill="1" applyBorder="1" applyAlignment="1" applyProtection="1">
      <alignment horizontal="left" vertical="center"/>
    </xf>
    <xf numFmtId="169" fontId="8" fillId="4" borderId="12" xfId="7" applyNumberFormat="1" applyFont="1" applyFill="1" applyBorder="1" applyAlignment="1" applyProtection="1">
      <alignment vertical="center"/>
    </xf>
    <xf numFmtId="169" fontId="9" fillId="4" borderId="11" xfId="7" applyNumberFormat="1" applyFont="1" applyFill="1" applyBorder="1" applyAlignment="1" applyProtection="1">
      <alignment vertical="center"/>
    </xf>
    <xf numFmtId="169" fontId="8" fillId="4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6" fillId="2" borderId="0" xfId="0" applyFont="1" applyFill="1" applyBorder="1" applyAlignment="1">
      <alignment horizontal="left" indent="1"/>
    </xf>
    <xf numFmtId="37" fontId="16" fillId="2" borderId="0" xfId="3" applyFont="1" applyFill="1" applyBorder="1"/>
    <xf numFmtId="37" fontId="15" fillId="2" borderId="1" xfId="3" applyFont="1" applyFill="1" applyBorder="1" applyAlignment="1" applyProtection="1">
      <alignment horizontal="center" vertical="center" wrapText="1"/>
    </xf>
    <xf numFmtId="37" fontId="15" fillId="2" borderId="1" xfId="3" quotePrefix="1" applyFont="1" applyFill="1" applyBorder="1" applyAlignment="1" applyProtection="1">
      <alignment horizontal="center" vertical="center" wrapText="1"/>
    </xf>
    <xf numFmtId="37" fontId="16" fillId="2" borderId="1" xfId="3" applyFont="1" applyFill="1" applyBorder="1" applyAlignment="1">
      <alignment horizontal="center" vertical="center"/>
    </xf>
    <xf numFmtId="37" fontId="16" fillId="2" borderId="1" xfId="3" applyFont="1" applyFill="1" applyBorder="1" applyAlignment="1" applyProtection="1">
      <alignment horizontal="center" vertical="center" wrapText="1"/>
    </xf>
    <xf numFmtId="37" fontId="16" fillId="2" borderId="0" xfId="0" applyNumberFormat="1" applyFont="1" applyFill="1" applyBorder="1" applyAlignment="1">
      <alignment horizontal="left" indent="1"/>
    </xf>
    <xf numFmtId="0" fontId="15" fillId="2" borderId="3" xfId="2" applyFont="1" applyFill="1" applyBorder="1" applyAlignment="1" applyProtection="1">
      <alignment horizontal="left" vertical="center" wrapText="1"/>
    </xf>
    <xf numFmtId="0" fontId="15" fillId="2" borderId="4" xfId="2" applyFont="1" applyFill="1" applyBorder="1" applyAlignment="1" applyProtection="1">
      <alignment horizontal="left" vertical="center" wrapText="1"/>
    </xf>
    <xf numFmtId="0" fontId="15" fillId="2" borderId="2" xfId="2" applyFont="1" applyFill="1" applyBorder="1" applyAlignment="1" applyProtection="1">
      <alignment horizontal="left" vertical="center" wrapText="1"/>
    </xf>
    <xf numFmtId="37" fontId="15" fillId="2" borderId="5" xfId="3" quotePrefix="1" applyFont="1" applyFill="1" applyBorder="1" applyAlignment="1" applyProtection="1">
      <alignment horizontal="center" vertical="center" wrapText="1"/>
    </xf>
    <xf numFmtId="37" fontId="15" fillId="2" borderId="6" xfId="3" applyFont="1" applyFill="1" applyBorder="1" applyAlignment="1" applyProtection="1">
      <alignment horizontal="center" vertical="center" wrapText="1"/>
    </xf>
    <xf numFmtId="37" fontId="15" fillId="2" borderId="10" xfId="3" applyFont="1" applyFill="1" applyBorder="1" applyAlignment="1" applyProtection="1">
      <alignment horizontal="center" vertical="center" wrapText="1"/>
    </xf>
    <xf numFmtId="37" fontId="15" fillId="2" borderId="3" xfId="3" applyFont="1" applyFill="1" applyBorder="1" applyAlignment="1" applyProtection="1">
      <alignment horizontal="center" vertical="center" wrapText="1"/>
    </xf>
    <xf numFmtId="37" fontId="15" fillId="2" borderId="4" xfId="3" applyFont="1" applyFill="1" applyBorder="1" applyAlignment="1" applyProtection="1">
      <alignment horizontal="center" vertical="center" wrapText="1"/>
    </xf>
    <xf numFmtId="37" fontId="15" fillId="2" borderId="2" xfId="3" applyFont="1" applyFill="1" applyBorder="1" applyAlignment="1" applyProtection="1">
      <alignment horizontal="center" vertical="center" wrapText="1"/>
    </xf>
    <xf numFmtId="37" fontId="15" fillId="2" borderId="7" xfId="3" applyFont="1" applyFill="1" applyBorder="1" applyAlignment="1">
      <alignment horizontal="center" vertical="center"/>
    </xf>
    <xf numFmtId="37" fontId="15" fillId="2" borderId="8" xfId="3" applyFont="1" applyFill="1" applyBorder="1" applyAlignment="1">
      <alignment horizontal="center" vertical="center"/>
    </xf>
    <xf numFmtId="37" fontId="15" fillId="2" borderId="9" xfId="3" applyFont="1" applyFill="1" applyBorder="1" applyAlignment="1">
      <alignment horizontal="center" vertical="center"/>
    </xf>
    <xf numFmtId="37" fontId="15" fillId="2" borderId="1" xfId="3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98</v>
      </c>
      <c r="B1" s="5" t="s">
        <v>98</v>
      </c>
      <c r="C1" s="5" t="s">
        <v>98</v>
      </c>
      <c r="D1" s="5" t="s">
        <v>98</v>
      </c>
      <c r="E1" s="5" t="s">
        <v>98</v>
      </c>
      <c r="F1" s="5" t="s">
        <v>98</v>
      </c>
      <c r="G1" s="5" t="s">
        <v>98</v>
      </c>
      <c r="H1" s="5" t="s">
        <v>98</v>
      </c>
      <c r="I1" s="5" t="s">
        <v>98</v>
      </c>
      <c r="J1" s="5" t="s">
        <v>98</v>
      </c>
      <c r="K1" s="5" t="s">
        <v>98</v>
      </c>
      <c r="L1" s="5" t="s">
        <v>98</v>
      </c>
      <c r="M1" s="5" t="s">
        <v>98</v>
      </c>
      <c r="N1" s="5" t="s">
        <v>98</v>
      </c>
      <c r="O1" s="5" t="s">
        <v>98</v>
      </c>
      <c r="P1" s="5" t="s">
        <v>98</v>
      </c>
      <c r="Q1" s="5" t="s">
        <v>98</v>
      </c>
      <c r="R1" s="5" t="s">
        <v>98</v>
      </c>
      <c r="S1" s="5" t="s">
        <v>98</v>
      </c>
      <c r="T1" s="5" t="s">
        <v>98</v>
      </c>
      <c r="U1" s="5" t="s">
        <v>98</v>
      </c>
      <c r="V1" s="5" t="s">
        <v>98</v>
      </c>
      <c r="W1" s="5" t="s">
        <v>98</v>
      </c>
      <c r="X1" s="5" t="s">
        <v>98</v>
      </c>
      <c r="Y1" s="5" t="s">
        <v>98</v>
      </c>
      <c r="Z1" s="5" t="s">
        <v>98</v>
      </c>
      <c r="AA1" s="5" t="s">
        <v>98</v>
      </c>
      <c r="AB1" s="5" t="s">
        <v>98</v>
      </c>
      <c r="AC1" s="5" t="s">
        <v>98</v>
      </c>
      <c r="AD1" s="5" t="s">
        <v>98</v>
      </c>
      <c r="AE1" s="5" t="s">
        <v>98</v>
      </c>
      <c r="AF1" s="5" t="s">
        <v>98</v>
      </c>
      <c r="AG1" s="5" t="s">
        <v>98</v>
      </c>
      <c r="AH1" s="5" t="s">
        <v>98</v>
      </c>
      <c r="AI1" s="5" t="s">
        <v>98</v>
      </c>
      <c r="AJ1" s="5" t="s">
        <v>98</v>
      </c>
      <c r="AK1" s="5" t="s">
        <v>98</v>
      </c>
      <c r="AQ1" s="1" t="s">
        <v>33</v>
      </c>
      <c r="AR1" t="s">
        <v>23</v>
      </c>
    </row>
    <row r="2" spans="1:57" x14ac:dyDescent="0.2">
      <c r="A2" s="5" t="s">
        <v>98</v>
      </c>
      <c r="B2" s="22" t="e">
        <f>#REF!</f>
        <v>#REF!</v>
      </c>
      <c r="C2" s="5" t="s">
        <v>98</v>
      </c>
      <c r="D2" s="5" t="s">
        <v>98</v>
      </c>
      <c r="E2" s="5" t="s">
        <v>98</v>
      </c>
      <c r="F2" s="5" t="s">
        <v>98</v>
      </c>
      <c r="G2" s="5" t="s">
        <v>98</v>
      </c>
      <c r="H2" s="5" t="s">
        <v>98</v>
      </c>
      <c r="I2" s="5" t="s">
        <v>98</v>
      </c>
      <c r="J2" s="5" t="s">
        <v>98</v>
      </c>
      <c r="K2" s="5" t="s">
        <v>98</v>
      </c>
      <c r="L2" s="5" t="s">
        <v>98</v>
      </c>
      <c r="M2" s="5" t="s">
        <v>98</v>
      </c>
      <c r="N2" s="5" t="s">
        <v>98</v>
      </c>
      <c r="O2" s="5" t="s">
        <v>98</v>
      </c>
      <c r="P2" s="5" t="s">
        <v>98</v>
      </c>
      <c r="Q2" s="5" t="s">
        <v>98</v>
      </c>
      <c r="R2" s="5" t="s">
        <v>98</v>
      </c>
      <c r="S2" s="5" t="s">
        <v>98</v>
      </c>
      <c r="T2" s="5" t="s">
        <v>98</v>
      </c>
      <c r="U2" s="5" t="s">
        <v>98</v>
      </c>
      <c r="V2" s="5" t="s">
        <v>98</v>
      </c>
      <c r="W2" s="5" t="s">
        <v>98</v>
      </c>
      <c r="X2" s="5" t="s">
        <v>98</v>
      </c>
      <c r="Y2" s="5" t="s">
        <v>98</v>
      </c>
      <c r="Z2" s="5" t="s">
        <v>98</v>
      </c>
      <c r="AA2" s="5" t="s">
        <v>98</v>
      </c>
      <c r="AB2" s="5" t="s">
        <v>98</v>
      </c>
      <c r="AC2" s="5" t="s">
        <v>98</v>
      </c>
      <c r="AD2" s="5" t="s">
        <v>98</v>
      </c>
      <c r="AE2" s="5" t="s">
        <v>98</v>
      </c>
      <c r="AF2" s="5" t="s">
        <v>98</v>
      </c>
      <c r="AG2" s="5" t="s">
        <v>98</v>
      </c>
      <c r="AH2" s="5" t="s">
        <v>98</v>
      </c>
      <c r="AI2" s="5" t="s">
        <v>98</v>
      </c>
      <c r="AJ2" s="5" t="s">
        <v>98</v>
      </c>
      <c r="AK2" s="5" t="s">
        <v>98</v>
      </c>
    </row>
    <row r="3" spans="1:57" ht="15.75" customHeight="1" x14ac:dyDescent="0.2">
      <c r="A3" s="1" t="s">
        <v>44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5" t="s">
        <v>98</v>
      </c>
      <c r="L3" s="5" t="s">
        <v>98</v>
      </c>
      <c r="M3" s="5" t="s">
        <v>98</v>
      </c>
      <c r="N3" s="5" t="s">
        <v>98</v>
      </c>
      <c r="O3" s="5" t="s">
        <v>98</v>
      </c>
      <c r="P3" s="5" t="s">
        <v>98</v>
      </c>
      <c r="Q3" s="5" t="s">
        <v>98</v>
      </c>
      <c r="R3" s="5" t="s">
        <v>98</v>
      </c>
      <c r="S3" s="5" t="s">
        <v>98</v>
      </c>
      <c r="T3" s="18" t="s">
        <v>98</v>
      </c>
      <c r="U3" s="1" t="s">
        <v>33</v>
      </c>
      <c r="V3" s="1" t="s">
        <v>34</v>
      </c>
      <c r="W3" s="1" t="s">
        <v>48</v>
      </c>
      <c r="X3" s="1" t="s">
        <v>49</v>
      </c>
      <c r="Y3" s="1" t="s">
        <v>50</v>
      </c>
      <c r="Z3" s="1" t="s">
        <v>51</v>
      </c>
      <c r="AA3" s="1" t="s">
        <v>35</v>
      </c>
      <c r="AB3" s="1" t="s">
        <v>36</v>
      </c>
      <c r="AC3" s="1" t="s">
        <v>37</v>
      </c>
      <c r="AD3" s="1" t="s">
        <v>52</v>
      </c>
      <c r="AE3" s="1" t="s">
        <v>53</v>
      </c>
      <c r="AF3" s="1" t="s">
        <v>54</v>
      </c>
      <c r="AG3" s="1" t="s">
        <v>55</v>
      </c>
      <c r="AH3" s="1" t="s">
        <v>56</v>
      </c>
      <c r="AI3" s="1" t="s">
        <v>57</v>
      </c>
      <c r="AJ3" s="1" t="s">
        <v>58</v>
      </c>
      <c r="AK3" s="1" t="s">
        <v>59</v>
      </c>
      <c r="AQ3" s="1" t="s">
        <v>34</v>
      </c>
      <c r="AR3" s="1" t="s">
        <v>48</v>
      </c>
      <c r="AS3" s="1" t="s">
        <v>49</v>
      </c>
      <c r="AT3" s="1" t="s">
        <v>50</v>
      </c>
      <c r="AU3" s="1" t="s">
        <v>51</v>
      </c>
      <c r="AV3" s="1" t="s">
        <v>35</v>
      </c>
      <c r="AW3" s="1" t="s">
        <v>36</v>
      </c>
      <c r="AX3" s="1" t="s">
        <v>37</v>
      </c>
      <c r="AY3" s="1" t="s">
        <v>52</v>
      </c>
      <c r="AZ3" s="1" t="s">
        <v>53</v>
      </c>
      <c r="BA3" s="1" t="s">
        <v>55</v>
      </c>
      <c r="BB3" s="1" t="s">
        <v>56</v>
      </c>
      <c r="BC3" s="1" t="s">
        <v>57</v>
      </c>
      <c r="BD3" s="1" t="s">
        <v>59</v>
      </c>
    </row>
    <row r="4" spans="1:57" ht="15.75" customHeight="1" x14ac:dyDescent="0.2">
      <c r="A4" s="2" t="s">
        <v>17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17</v>
      </c>
      <c r="V4" t="s">
        <v>18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45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17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99</v>
      </c>
      <c r="BA5" t="s">
        <v>45</v>
      </c>
      <c r="BB5" t="s">
        <v>45</v>
      </c>
      <c r="BC5" t="s">
        <v>99</v>
      </c>
      <c r="BD5" t="s">
        <v>45</v>
      </c>
      <c r="BE5" s="20"/>
    </row>
    <row r="6" spans="1:57" x14ac:dyDescent="0.2">
      <c r="A6" s="2" t="s">
        <v>23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99</v>
      </c>
      <c r="AF6" t="s">
        <v>99</v>
      </c>
      <c r="AG6" t="s">
        <v>45</v>
      </c>
      <c r="AH6" t="s">
        <v>45</v>
      </c>
      <c r="AI6" t="s">
        <v>99</v>
      </c>
      <c r="AJ6" t="s">
        <v>99</v>
      </c>
      <c r="AK6" t="s">
        <v>45</v>
      </c>
      <c r="BE6" s="20"/>
    </row>
    <row r="7" spans="1:57" x14ac:dyDescent="0.2">
      <c r="A7" s="2" t="s">
        <v>20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23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 x14ac:dyDescent="0.2">
      <c r="A8" s="2" t="s">
        <v>21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23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99</v>
      </c>
      <c r="AF8" t="s">
        <v>99</v>
      </c>
      <c r="AG8" t="s">
        <v>45</v>
      </c>
      <c r="AH8" t="s">
        <v>45</v>
      </c>
      <c r="AI8" t="s">
        <v>99</v>
      </c>
      <c r="AJ8" t="s">
        <v>99</v>
      </c>
      <c r="AK8" t="s">
        <v>45</v>
      </c>
    </row>
    <row r="9" spans="1:57" x14ac:dyDescent="0.2">
      <c r="A9" s="2" t="s">
        <v>22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20</v>
      </c>
      <c r="V9" t="s">
        <v>139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 x14ac:dyDescent="0.2">
      <c r="A10" s="2" t="s">
        <v>26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20</v>
      </c>
      <c r="V10" t="s">
        <v>140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 x14ac:dyDescent="0.2">
      <c r="A11" s="2" t="s">
        <v>28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20</v>
      </c>
      <c r="V11" t="s">
        <v>141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 x14ac:dyDescent="0.2">
      <c r="A12" s="2" t="s">
        <v>29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20</v>
      </c>
      <c r="V12" t="s">
        <v>142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 x14ac:dyDescent="0.2">
      <c r="A13" s="2" t="s">
        <v>172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20</v>
      </c>
      <c r="V13" t="s">
        <v>143</v>
      </c>
      <c r="W13">
        <v>22</v>
      </c>
      <c r="X13" t="s">
        <v>45</v>
      </c>
      <c r="Y13" t="s">
        <v>45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 x14ac:dyDescent="0.2">
      <c r="A14" s="2" t="s">
        <v>32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20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 x14ac:dyDescent="0.2">
      <c r="A15" s="2" t="s">
        <v>41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20</v>
      </c>
      <c r="V15" t="s">
        <v>145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 x14ac:dyDescent="0.2">
      <c r="A16" s="2" t="s">
        <v>42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21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 x14ac:dyDescent="0.2">
      <c r="A17" s="2" t="s">
        <v>43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22</v>
      </c>
      <c r="V17" t="s">
        <v>122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99</v>
      </c>
      <c r="AF17" t="s">
        <v>99</v>
      </c>
      <c r="AG17" t="s">
        <v>45</v>
      </c>
      <c r="AH17" t="s">
        <v>45</v>
      </c>
      <c r="AI17" t="s">
        <v>99</v>
      </c>
      <c r="AJ17" t="s">
        <v>99</v>
      </c>
      <c r="AK17" t="s">
        <v>45</v>
      </c>
    </row>
    <row r="18" spans="1:37" x14ac:dyDescent="0.2">
      <c r="A18" s="2" t="s">
        <v>180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22</v>
      </c>
      <c r="V18" t="s">
        <v>123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99</v>
      </c>
      <c r="AF18" t="s">
        <v>99</v>
      </c>
      <c r="AG18" t="s">
        <v>45</v>
      </c>
      <c r="AH18" t="s">
        <v>45</v>
      </c>
      <c r="AI18" t="s">
        <v>99</v>
      </c>
      <c r="AJ18" t="s">
        <v>99</v>
      </c>
      <c r="AK18" t="s">
        <v>45</v>
      </c>
    </row>
    <row r="19" spans="1:37" x14ac:dyDescent="0.2">
      <c r="A19" s="2" t="s">
        <v>181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22</v>
      </c>
      <c r="V19" t="s">
        <v>124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99</v>
      </c>
      <c r="AF19" t="s">
        <v>99</v>
      </c>
      <c r="AG19" t="s">
        <v>45</v>
      </c>
      <c r="AH19" t="s">
        <v>45</v>
      </c>
      <c r="AI19" t="s">
        <v>99</v>
      </c>
      <c r="AJ19" t="s">
        <v>99</v>
      </c>
      <c r="AK19" t="s">
        <v>45</v>
      </c>
    </row>
    <row r="20" spans="1:37" x14ac:dyDescent="0.2">
      <c r="A20" s="2" t="s">
        <v>46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24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 x14ac:dyDescent="0.2">
      <c r="T21" s="19" t="str">
        <f t="shared" si="0"/>
        <v>JET AIRWAYSB- 737 - 800</v>
      </c>
      <c r="U21" t="s">
        <v>24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24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24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24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24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25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25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 x14ac:dyDescent="0.2">
      <c r="T28" s="19" t="str">
        <f t="shared" si="0"/>
        <v>SPICEJET737 - 700</v>
      </c>
      <c r="U28" t="s">
        <v>26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 x14ac:dyDescent="0.2">
      <c r="T29" s="19" t="str">
        <f t="shared" si="0"/>
        <v>SPICEJET737 - 800</v>
      </c>
      <c r="U29" t="s">
        <v>26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26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 x14ac:dyDescent="0.2">
      <c r="T31" s="19" t="str">
        <f t="shared" si="0"/>
        <v>SPICEJETDH8</v>
      </c>
      <c r="U31" t="s">
        <v>26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 x14ac:dyDescent="0.2">
      <c r="T32" s="19" t="str">
        <f t="shared" si="0"/>
        <v>SPICEJETA319</v>
      </c>
      <c r="U32" t="s">
        <v>26</v>
      </c>
      <c r="V32" t="s">
        <v>154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99</v>
      </c>
      <c r="AF32" t="s">
        <v>99</v>
      </c>
      <c r="AG32" t="s">
        <v>45</v>
      </c>
      <c r="AH32" t="s">
        <v>45</v>
      </c>
      <c r="AI32" t="s">
        <v>99</v>
      </c>
      <c r="AJ32" t="s">
        <v>99</v>
      </c>
      <c r="AK32" t="s">
        <v>45</v>
      </c>
    </row>
    <row r="33" spans="20:37" x14ac:dyDescent="0.2">
      <c r="T33" s="19" t="str">
        <f t="shared" si="0"/>
        <v>SPICEJETA 320</v>
      </c>
      <c r="U33" t="s">
        <v>26</v>
      </c>
      <c r="V33" t="s">
        <v>155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99</v>
      </c>
      <c r="AF33" t="s">
        <v>99</v>
      </c>
      <c r="AG33" t="s">
        <v>45</v>
      </c>
      <c r="AH33" t="s">
        <v>45</v>
      </c>
      <c r="AI33" t="s">
        <v>99</v>
      </c>
      <c r="AJ33" t="s">
        <v>99</v>
      </c>
      <c r="AK33" t="s">
        <v>45</v>
      </c>
    </row>
    <row r="34" spans="20:37" x14ac:dyDescent="0.2">
      <c r="T34" s="19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99</v>
      </c>
      <c r="AF34" t="s">
        <v>99</v>
      </c>
      <c r="AG34" t="s">
        <v>45</v>
      </c>
      <c r="AH34" t="s">
        <v>45</v>
      </c>
      <c r="AI34" t="s">
        <v>99</v>
      </c>
      <c r="AJ34" t="s">
        <v>99</v>
      </c>
      <c r="AK34" t="s">
        <v>45</v>
      </c>
    </row>
    <row r="35" spans="20:37" x14ac:dyDescent="0.2">
      <c r="T35" s="19" t="str">
        <f t="shared" si="0"/>
        <v>AIR ASIAAIRBUS A320</v>
      </c>
      <c r="U35" t="s">
        <v>28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29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29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 x14ac:dyDescent="0.2">
      <c r="T40" s="19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99</v>
      </c>
      <c r="AF40" t="s">
        <v>99</v>
      </c>
      <c r="AG40" t="s">
        <v>45</v>
      </c>
      <c r="AH40" t="s">
        <v>45</v>
      </c>
      <c r="AI40" t="s">
        <v>99</v>
      </c>
      <c r="AJ40" t="s">
        <v>99</v>
      </c>
      <c r="AK40" t="s">
        <v>45</v>
      </c>
    </row>
    <row r="41" spans="20:37" x14ac:dyDescent="0.2">
      <c r="T41" s="19" t="str">
        <f t="shared" si="0"/>
        <v>TRUEJETATR 72-212 A / VT-TMK</v>
      </c>
      <c r="U41" t="s">
        <v>32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32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32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32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127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99</v>
      </c>
      <c r="AF48" t="s">
        <v>99</v>
      </c>
      <c r="AG48" t="s">
        <v>45</v>
      </c>
      <c r="AH48" t="s">
        <v>45</v>
      </c>
      <c r="AI48" t="s">
        <v>99</v>
      </c>
      <c r="AJ48" t="s">
        <v>99</v>
      </c>
      <c r="AK48" t="s">
        <v>45</v>
      </c>
    </row>
    <row r="49" spans="20:37" x14ac:dyDescent="0.2">
      <c r="T49" s="19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170</v>
      </c>
      <c r="V54" t="s">
        <v>177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170</v>
      </c>
      <c r="V55" t="s">
        <v>178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171</v>
      </c>
      <c r="V56" t="s">
        <v>178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44</v>
      </c>
      <c r="B3" t="s">
        <v>63</v>
      </c>
      <c r="C3" t="s">
        <v>73</v>
      </c>
      <c r="V3" s="4" t="s">
        <v>74</v>
      </c>
      <c r="W3" s="1" t="s">
        <v>38</v>
      </c>
      <c r="X3" s="1" t="s">
        <v>60</v>
      </c>
      <c r="Y3" t="s">
        <v>72</v>
      </c>
      <c r="Z3" t="s">
        <v>63</v>
      </c>
      <c r="AA3" t="s">
        <v>73</v>
      </c>
    </row>
    <row r="4" spans="1:27" x14ac:dyDescent="0.2">
      <c r="A4" s="2" t="s">
        <v>28</v>
      </c>
      <c r="B4" s="3">
        <v>2467</v>
      </c>
      <c r="C4" s="3">
        <v>3806.1423290000002</v>
      </c>
      <c r="V4" t="str">
        <f>W4&amp;X4</f>
        <v>AIR ASIAP1</v>
      </c>
      <c r="W4" t="s">
        <v>28</v>
      </c>
      <c r="X4" t="s">
        <v>8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20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28</v>
      </c>
      <c r="X5" t="s">
        <v>9</v>
      </c>
      <c r="Y5" s="3"/>
      <c r="Z5" s="3"/>
      <c r="AA5" s="3"/>
    </row>
    <row r="6" spans="1:27" x14ac:dyDescent="0.2">
      <c r="A6" s="2" t="s">
        <v>21</v>
      </c>
      <c r="B6" s="3">
        <v>1472</v>
      </c>
      <c r="C6" s="3">
        <v>2956.1</v>
      </c>
      <c r="V6" t="str">
        <f t="shared" si="0"/>
        <v>AIR ASIAP3</v>
      </c>
      <c r="W6" t="s">
        <v>28</v>
      </c>
      <c r="X6" t="s">
        <v>10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43</v>
      </c>
      <c r="B7" s="3">
        <v>61052</v>
      </c>
      <c r="C7" s="3">
        <v>93775.981349000009</v>
      </c>
      <c r="V7" t="str">
        <f t="shared" si="0"/>
        <v>AIR ASIAP4</v>
      </c>
      <c r="W7" t="s">
        <v>28</v>
      </c>
      <c r="X7" t="s">
        <v>11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22</v>
      </c>
      <c r="B8" s="3">
        <v>648</v>
      </c>
      <c r="C8" s="3">
        <v>1392.7165519999999</v>
      </c>
      <c r="V8" t="str">
        <f t="shared" si="0"/>
        <v>AIR ASIAP4.1</v>
      </c>
      <c r="W8" t="s">
        <v>28</v>
      </c>
      <c r="X8" t="s">
        <v>39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30</v>
      </c>
      <c r="B9" s="3">
        <v>1389</v>
      </c>
      <c r="C9" s="3">
        <v>1617.18</v>
      </c>
      <c r="V9" t="str">
        <f t="shared" si="0"/>
        <v>AIR ASIAP4.2</v>
      </c>
      <c r="W9" t="s">
        <v>28</v>
      </c>
      <c r="X9" t="s">
        <v>40</v>
      </c>
      <c r="Y9" s="3"/>
      <c r="Z9" s="3"/>
      <c r="AA9" s="3"/>
    </row>
    <row r="10" spans="1:27" x14ac:dyDescent="0.2">
      <c r="A10" s="2" t="s">
        <v>23</v>
      </c>
      <c r="B10" s="3">
        <v>4140</v>
      </c>
      <c r="C10" s="3">
        <v>6380</v>
      </c>
      <c r="V10" t="str">
        <f t="shared" si="0"/>
        <v>AIR ASIAP5</v>
      </c>
      <c r="W10" t="s">
        <v>28</v>
      </c>
      <c r="X10" t="s">
        <v>12</v>
      </c>
      <c r="Y10" s="3"/>
      <c r="Z10" s="3"/>
      <c r="AA10" s="3"/>
    </row>
    <row r="11" spans="1:27" x14ac:dyDescent="0.2">
      <c r="A11" s="2" t="s">
        <v>17</v>
      </c>
      <c r="B11" s="3">
        <v>25201</v>
      </c>
      <c r="C11" s="3">
        <v>33290.79</v>
      </c>
      <c r="V11" t="str">
        <f t="shared" si="0"/>
        <v>AIR ASIAP6</v>
      </c>
      <c r="W11" t="s">
        <v>28</v>
      </c>
      <c r="X11" t="s">
        <v>13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41</v>
      </c>
      <c r="B12" s="3">
        <v>12112</v>
      </c>
      <c r="C12" s="3">
        <v>34401.086552000001</v>
      </c>
      <c r="V12" t="str">
        <f t="shared" si="0"/>
        <v>AIR INDIAP1</v>
      </c>
      <c r="W12" t="s">
        <v>20</v>
      </c>
      <c r="X12" t="s">
        <v>8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42</v>
      </c>
      <c r="B13" s="3">
        <v>48940</v>
      </c>
      <c r="C13" s="3">
        <v>59374.894797000001</v>
      </c>
      <c r="V13" t="str">
        <f t="shared" si="0"/>
        <v>AIR INDIAP2</v>
      </c>
      <c r="W13" t="s">
        <v>20</v>
      </c>
      <c r="X13" t="s">
        <v>9</v>
      </c>
      <c r="Y13" s="3"/>
      <c r="Z13" s="3"/>
      <c r="AA13" s="3"/>
    </row>
    <row r="14" spans="1:27" x14ac:dyDescent="0.2">
      <c r="A14" s="2" t="s">
        <v>26</v>
      </c>
      <c r="B14" s="3">
        <v>12094</v>
      </c>
      <c r="C14" s="3">
        <v>9401.4900000000016</v>
      </c>
      <c r="V14" t="str">
        <f t="shared" si="0"/>
        <v>AIR INDIAP3</v>
      </c>
      <c r="W14" t="s">
        <v>20</v>
      </c>
      <c r="X14" t="s">
        <v>10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32</v>
      </c>
      <c r="B15" s="3">
        <v>895</v>
      </c>
      <c r="C15" s="3">
        <v>801.87858399999982</v>
      </c>
      <c r="V15" t="str">
        <f t="shared" si="0"/>
        <v>AIR INDIAP4</v>
      </c>
      <c r="W15" t="s">
        <v>20</v>
      </c>
      <c r="X15" t="s">
        <v>11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29</v>
      </c>
      <c r="B16" s="3">
        <v>2721</v>
      </c>
      <c r="C16" s="3">
        <v>4070.3999999999996</v>
      </c>
      <c r="V16" t="str">
        <f t="shared" si="0"/>
        <v>AIR INDIAP4.1</v>
      </c>
      <c r="W16" t="s">
        <v>20</v>
      </c>
      <c r="X16" t="s">
        <v>39</v>
      </c>
      <c r="Y16" s="3"/>
      <c r="Z16" s="3"/>
      <c r="AA16" s="3"/>
    </row>
    <row r="17" spans="1:27" x14ac:dyDescent="0.2">
      <c r="A17" s="2" t="s">
        <v>45</v>
      </c>
      <c r="B17" s="3"/>
      <c r="C17" s="3"/>
      <c r="V17" t="str">
        <f t="shared" si="0"/>
        <v>AIR INDIAP4.2</v>
      </c>
      <c r="W17" t="s">
        <v>20</v>
      </c>
      <c r="X17" t="s">
        <v>40</v>
      </c>
      <c r="Y17" s="3"/>
      <c r="Z17" s="3"/>
      <c r="AA17" s="3"/>
    </row>
    <row r="18" spans="1:27" x14ac:dyDescent="0.2">
      <c r="A18" s="2" t="s">
        <v>180</v>
      </c>
      <c r="B18" s="3"/>
      <c r="C18" s="3"/>
      <c r="V18" t="str">
        <f t="shared" si="0"/>
        <v>AIR INDIAP5</v>
      </c>
      <c r="W18" t="s">
        <v>20</v>
      </c>
      <c r="X18" t="s">
        <v>12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182</v>
      </c>
      <c r="B19" s="3">
        <v>33</v>
      </c>
      <c r="C19" s="3">
        <v>7.0138840000000009</v>
      </c>
      <c r="V19" t="str">
        <f t="shared" si="0"/>
        <v>AIR INDIAP6</v>
      </c>
      <c r="W19" t="s">
        <v>20</v>
      </c>
      <c r="X19" t="s">
        <v>13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46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21</v>
      </c>
      <c r="X20" t="s">
        <v>8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21</v>
      </c>
      <c r="X21" t="s">
        <v>9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21</v>
      </c>
      <c r="X22" t="s">
        <v>10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21</v>
      </c>
      <c r="X23" t="s">
        <v>11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21</v>
      </c>
      <c r="X24" t="s">
        <v>39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21</v>
      </c>
      <c r="X25" t="s">
        <v>40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21</v>
      </c>
      <c r="X26" t="s">
        <v>12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21</v>
      </c>
      <c r="X27" t="s">
        <v>13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43</v>
      </c>
      <c r="X28" t="s">
        <v>8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43</v>
      </c>
      <c r="X29" t="s">
        <v>9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43</v>
      </c>
      <c r="X30" t="s">
        <v>10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43</v>
      </c>
      <c r="X31" t="s">
        <v>11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43</v>
      </c>
      <c r="X32" t="s">
        <v>39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43</v>
      </c>
      <c r="X33" t="s">
        <v>40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43</v>
      </c>
      <c r="X34" t="s">
        <v>12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43</v>
      </c>
      <c r="X35" t="s">
        <v>13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22</v>
      </c>
      <c r="X36" t="s">
        <v>8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22</v>
      </c>
      <c r="X37" t="s">
        <v>9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22</v>
      </c>
      <c r="X38" t="s">
        <v>10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22</v>
      </c>
      <c r="X39" t="s">
        <v>11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22</v>
      </c>
      <c r="X40" t="s">
        <v>39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22</v>
      </c>
      <c r="X41" t="s">
        <v>40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22</v>
      </c>
      <c r="X42" t="s">
        <v>12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22</v>
      </c>
      <c r="X43" t="s">
        <v>13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30</v>
      </c>
      <c r="X44" t="s">
        <v>8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30</v>
      </c>
      <c r="X45" t="s">
        <v>9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30</v>
      </c>
      <c r="X46" t="s">
        <v>10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30</v>
      </c>
      <c r="X47" t="s">
        <v>11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30</v>
      </c>
      <c r="X48" t="s">
        <v>39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30</v>
      </c>
      <c r="X49" t="s">
        <v>40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30</v>
      </c>
      <c r="X50" t="s">
        <v>12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30</v>
      </c>
      <c r="X51" t="s">
        <v>13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23</v>
      </c>
      <c r="X52" t="s">
        <v>8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23</v>
      </c>
      <c r="X53" t="s">
        <v>9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23</v>
      </c>
      <c r="X54" t="s">
        <v>10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23</v>
      </c>
      <c r="X55" t="s">
        <v>11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23</v>
      </c>
      <c r="X56" t="s">
        <v>39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23</v>
      </c>
      <c r="X57" t="s">
        <v>40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23</v>
      </c>
      <c r="X58" t="s">
        <v>12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23</v>
      </c>
      <c r="X59" t="s">
        <v>13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17</v>
      </c>
      <c r="X60" t="s">
        <v>8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17</v>
      </c>
      <c r="X61" t="s">
        <v>9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17</v>
      </c>
      <c r="X62" t="s">
        <v>10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17</v>
      </c>
      <c r="X63" t="s">
        <v>11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17</v>
      </c>
      <c r="X64" t="s">
        <v>39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17</v>
      </c>
      <c r="X65" t="s">
        <v>40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17</v>
      </c>
      <c r="X66" t="s">
        <v>12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17</v>
      </c>
      <c r="X67" t="s">
        <v>13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41</v>
      </c>
      <c r="X68" t="s">
        <v>8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41</v>
      </c>
      <c r="X69" t="s">
        <v>9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41</v>
      </c>
      <c r="X70" t="s">
        <v>10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41</v>
      </c>
      <c r="X71" t="s">
        <v>11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41</v>
      </c>
      <c r="X72" t="s">
        <v>39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41</v>
      </c>
      <c r="X73" t="s">
        <v>40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41</v>
      </c>
      <c r="X74" t="s">
        <v>12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41</v>
      </c>
      <c r="X75" t="s">
        <v>13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42</v>
      </c>
      <c r="X76" t="s">
        <v>8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42</v>
      </c>
      <c r="X77" t="s">
        <v>9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42</v>
      </c>
      <c r="X78" t="s">
        <v>10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42</v>
      </c>
      <c r="X79" t="s">
        <v>11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42</v>
      </c>
      <c r="X80" t="s">
        <v>39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42</v>
      </c>
      <c r="X81" t="s">
        <v>40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42</v>
      </c>
      <c r="X82" t="s">
        <v>12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42</v>
      </c>
      <c r="X83" t="s">
        <v>13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26</v>
      </c>
      <c r="X84" t="s">
        <v>8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26</v>
      </c>
      <c r="X85" t="s">
        <v>9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26</v>
      </c>
      <c r="X86" t="s">
        <v>10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26</v>
      </c>
      <c r="X87" t="s">
        <v>11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26</v>
      </c>
      <c r="X88" t="s">
        <v>39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26</v>
      </c>
      <c r="X89" t="s">
        <v>40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26</v>
      </c>
      <c r="X90" t="s">
        <v>12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26</v>
      </c>
      <c r="X91" t="s">
        <v>13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32</v>
      </c>
      <c r="X92" t="s">
        <v>8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32</v>
      </c>
      <c r="X93" t="s">
        <v>9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32</v>
      </c>
      <c r="X94" t="s">
        <v>10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32</v>
      </c>
      <c r="X95" t="s">
        <v>11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32</v>
      </c>
      <c r="X96" t="s">
        <v>39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32</v>
      </c>
      <c r="X97" t="s">
        <v>40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32</v>
      </c>
      <c r="X98" t="s">
        <v>12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32</v>
      </c>
      <c r="X99" t="s">
        <v>13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29</v>
      </c>
      <c r="X100" t="s">
        <v>8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29</v>
      </c>
      <c r="X101" t="s">
        <v>9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29</v>
      </c>
      <c r="X102" t="s">
        <v>10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29</v>
      </c>
      <c r="X103" t="s">
        <v>11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29</v>
      </c>
      <c r="X104" t="s">
        <v>39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29</v>
      </c>
      <c r="X105" t="s">
        <v>40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29</v>
      </c>
      <c r="X106" t="s">
        <v>12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29</v>
      </c>
      <c r="X107" t="s">
        <v>13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45</v>
      </c>
      <c r="X108" t="s">
        <v>45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180</v>
      </c>
      <c r="X109" t="s">
        <v>8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180</v>
      </c>
      <c r="X110" t="s">
        <v>9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180</v>
      </c>
      <c r="X111" t="s">
        <v>10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180</v>
      </c>
      <c r="X112" t="s">
        <v>11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180</v>
      </c>
      <c r="X113" t="s">
        <v>39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180</v>
      </c>
      <c r="X114" t="s">
        <v>40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180</v>
      </c>
      <c r="X115" t="s">
        <v>12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180</v>
      </c>
      <c r="X116" t="s">
        <v>13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182</v>
      </c>
      <c r="X117" t="s">
        <v>8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182</v>
      </c>
      <c r="X118" t="s">
        <v>9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182</v>
      </c>
      <c r="X119" t="s">
        <v>10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182</v>
      </c>
      <c r="X120" t="s">
        <v>11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182</v>
      </c>
      <c r="X121" t="s">
        <v>39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182</v>
      </c>
      <c r="X122" t="s">
        <v>40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182</v>
      </c>
      <c r="X123" t="s">
        <v>12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182</v>
      </c>
      <c r="X124" t="s">
        <v>13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15</v>
      </c>
      <c r="C2" s="7" t="s">
        <v>100</v>
      </c>
      <c r="D2" s="7" t="s">
        <v>101</v>
      </c>
      <c r="E2" s="7" t="s">
        <v>16</v>
      </c>
      <c r="F2" s="7" t="s">
        <v>102</v>
      </c>
      <c r="G2" s="8" t="s">
        <v>103</v>
      </c>
      <c r="H2" s="8" t="s">
        <v>104</v>
      </c>
      <c r="I2" s="9" t="s">
        <v>105</v>
      </c>
      <c r="J2" s="8" t="s">
        <v>106</v>
      </c>
      <c r="K2" s="8" t="s">
        <v>107</v>
      </c>
      <c r="L2" s="8" t="s">
        <v>108</v>
      </c>
      <c r="M2" s="8" t="s">
        <v>109</v>
      </c>
      <c r="N2" s="8" t="s">
        <v>110</v>
      </c>
      <c r="O2" s="8" t="s">
        <v>111</v>
      </c>
      <c r="P2" s="8" t="s">
        <v>112</v>
      </c>
      <c r="Q2" s="8" t="s">
        <v>113</v>
      </c>
      <c r="R2" s="8" t="s">
        <v>114</v>
      </c>
      <c r="S2" s="10" t="s">
        <v>115</v>
      </c>
      <c r="T2" s="8" t="s">
        <v>116</v>
      </c>
      <c r="U2" s="8" t="s">
        <v>117</v>
      </c>
      <c r="V2" s="7" t="s">
        <v>118</v>
      </c>
      <c r="W2" s="8" t="s">
        <v>119</v>
      </c>
      <c r="X2" s="7" t="s">
        <v>120</v>
      </c>
      <c r="Y2" s="7" t="s">
        <v>121</v>
      </c>
    </row>
    <row r="3" spans="1:25" x14ac:dyDescent="0.2">
      <c r="A3" s="1" t="s">
        <v>44</v>
      </c>
      <c r="B3" t="s">
        <v>47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5" customFormat="1" x14ac:dyDescent="0.2">
      <c r="A4" s="17" t="s">
        <v>28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20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21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22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30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23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17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24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25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26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32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>
        <v>-175.64659600000005</v>
      </c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29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45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-67094.277892950005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41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42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180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181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179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-67094.277892950005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46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-201282.83367885003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H18"/>
  <sheetViews>
    <sheetView showGridLines="0" tabSelected="1" view="pageBreakPreview" zoomScaleNormal="75" zoomScaleSheetLayoutView="100" workbookViewId="0">
      <selection activeCell="H19" sqref="H19"/>
    </sheetView>
  </sheetViews>
  <sheetFormatPr defaultColWidth="11" defaultRowHeight="15.75" x14ac:dyDescent="0.25"/>
  <cols>
    <col min="1" max="1" width="11.85546875" style="24" customWidth="1"/>
    <col min="2" max="2" width="14.5703125" style="24" customWidth="1"/>
    <col min="3" max="3" width="15.42578125" style="24" customWidth="1"/>
    <col min="4" max="4" width="14.140625" style="24" customWidth="1"/>
    <col min="5" max="5" width="20.85546875" style="24" customWidth="1"/>
    <col min="6" max="6" width="15.5703125" style="24" customWidth="1"/>
    <col min="7" max="8" width="15.7109375" style="24" customWidth="1"/>
    <col min="9" max="16384" width="11" style="24"/>
  </cols>
  <sheetData>
    <row r="1" spans="1:8" ht="24.95" customHeight="1" x14ac:dyDescent="0.25">
      <c r="A1" s="39" t="s">
        <v>193</v>
      </c>
      <c r="B1" s="40"/>
      <c r="C1" s="40"/>
      <c r="D1" s="40"/>
      <c r="E1" s="40"/>
      <c r="F1" s="40"/>
      <c r="G1" s="40"/>
      <c r="H1" s="41"/>
    </row>
    <row r="2" spans="1:8" ht="19.5" customHeight="1" x14ac:dyDescent="0.25">
      <c r="A2" s="33" t="s">
        <v>194</v>
      </c>
      <c r="B2" s="34"/>
      <c r="C2" s="34"/>
      <c r="D2" s="34"/>
      <c r="E2" s="34"/>
      <c r="F2" s="34"/>
      <c r="G2" s="34"/>
      <c r="H2" s="35"/>
    </row>
    <row r="3" spans="1:8" ht="31.5" customHeight="1" x14ac:dyDescent="0.25">
      <c r="A3" s="36" t="s">
        <v>192</v>
      </c>
      <c r="B3" s="37"/>
      <c r="C3" s="37"/>
      <c r="D3" s="37"/>
      <c r="E3" s="37"/>
      <c r="F3" s="37"/>
      <c r="G3" s="37"/>
      <c r="H3" s="38"/>
    </row>
    <row r="4" spans="1:8" ht="21" customHeight="1" x14ac:dyDescent="0.25">
      <c r="A4" s="42" t="s">
        <v>6</v>
      </c>
      <c r="B4" s="36" t="s">
        <v>5</v>
      </c>
      <c r="C4" s="37"/>
      <c r="D4" s="37"/>
      <c r="E4" s="37"/>
      <c r="F4" s="37"/>
      <c r="G4" s="37"/>
      <c r="H4" s="38"/>
    </row>
    <row r="5" spans="1:8" ht="62.25" customHeight="1" x14ac:dyDescent="0.25">
      <c r="A5" s="42"/>
      <c r="B5" s="25" t="s">
        <v>4</v>
      </c>
      <c r="C5" s="25" t="s">
        <v>185</v>
      </c>
      <c r="D5" s="25" t="s">
        <v>186</v>
      </c>
      <c r="E5" s="25" t="s">
        <v>3</v>
      </c>
      <c r="F5" s="25" t="s">
        <v>2</v>
      </c>
      <c r="G5" s="25" t="s">
        <v>1</v>
      </c>
      <c r="H5" s="25" t="s">
        <v>0</v>
      </c>
    </row>
    <row r="6" spans="1:8" ht="24" customHeight="1" x14ac:dyDescent="0.25">
      <c r="A6" s="26" t="s">
        <v>14</v>
      </c>
      <c r="B6" s="27"/>
      <c r="C6" s="27"/>
      <c r="D6" s="27"/>
      <c r="E6" s="27"/>
      <c r="F6" s="27"/>
      <c r="G6" s="27"/>
      <c r="H6" s="28"/>
    </row>
    <row r="7" spans="1:8" ht="24" customHeight="1" x14ac:dyDescent="0.25">
      <c r="A7" s="26" t="s">
        <v>7</v>
      </c>
      <c r="B7" s="27"/>
      <c r="C7" s="27"/>
      <c r="D7" s="27"/>
      <c r="E7" s="27"/>
      <c r="F7" s="27"/>
      <c r="G7" s="27"/>
      <c r="H7" s="28"/>
    </row>
    <row r="8" spans="1:8" ht="24" customHeight="1" x14ac:dyDescent="0.25">
      <c r="A8" s="26" t="s">
        <v>19</v>
      </c>
      <c r="B8" s="27"/>
      <c r="C8" s="27"/>
      <c r="D8" s="27"/>
      <c r="E8" s="27"/>
      <c r="F8" s="27"/>
      <c r="G8" s="27"/>
      <c r="H8" s="27"/>
    </row>
    <row r="9" spans="1:8" ht="22.5" customHeight="1" x14ac:dyDescent="0.25">
      <c r="A9" s="26" t="s">
        <v>61</v>
      </c>
      <c r="B9" s="27"/>
      <c r="C9" s="27"/>
      <c r="D9" s="27"/>
      <c r="E9" s="27"/>
      <c r="F9" s="27"/>
      <c r="G9" s="27"/>
      <c r="H9" s="27"/>
    </row>
    <row r="10" spans="1:8" ht="21" customHeight="1" x14ac:dyDescent="0.25">
      <c r="A10" s="26" t="s">
        <v>176</v>
      </c>
      <c r="B10" s="27"/>
      <c r="C10" s="27"/>
      <c r="D10" s="27"/>
      <c r="E10" s="27"/>
      <c r="F10" s="27"/>
      <c r="G10" s="27"/>
      <c r="H10" s="27"/>
    </row>
    <row r="11" spans="1:8" ht="21" customHeight="1" x14ac:dyDescent="0.25">
      <c r="A11" s="26" t="s">
        <v>183</v>
      </c>
      <c r="B11" s="27"/>
      <c r="C11" s="27"/>
      <c r="D11" s="27"/>
      <c r="E11" s="27"/>
      <c r="F11" s="27"/>
      <c r="G11" s="27"/>
      <c r="H11" s="27"/>
    </row>
    <row r="12" spans="1:8" ht="21" customHeight="1" x14ac:dyDescent="0.25">
      <c r="A12" s="26" t="s">
        <v>184</v>
      </c>
      <c r="B12" s="27"/>
      <c r="C12" s="27"/>
      <c r="D12" s="27"/>
      <c r="E12" s="27"/>
      <c r="F12" s="27"/>
      <c r="G12" s="27"/>
      <c r="H12" s="27"/>
    </row>
    <row r="13" spans="1:8" ht="21" customHeight="1" x14ac:dyDescent="0.25">
      <c r="A13" s="26" t="s">
        <v>187</v>
      </c>
      <c r="B13" s="27"/>
      <c r="C13" s="27"/>
      <c r="D13" s="27"/>
      <c r="E13" s="27"/>
      <c r="F13" s="27"/>
      <c r="G13" s="27"/>
      <c r="H13" s="27"/>
    </row>
    <row r="14" spans="1:8" ht="21" customHeight="1" x14ac:dyDescent="0.25">
      <c r="A14" s="26" t="s">
        <v>188</v>
      </c>
      <c r="B14" s="27"/>
      <c r="C14" s="27"/>
      <c r="D14" s="27"/>
      <c r="E14" s="27"/>
      <c r="F14" s="27"/>
      <c r="G14" s="27"/>
      <c r="H14" s="27"/>
    </row>
    <row r="15" spans="1:8" ht="21" customHeight="1" x14ac:dyDescent="0.25">
      <c r="A15" s="26" t="s">
        <v>189</v>
      </c>
      <c r="B15" s="27"/>
      <c r="C15" s="27"/>
      <c r="D15" s="27"/>
      <c r="E15" s="27"/>
      <c r="F15" s="27"/>
      <c r="G15" s="27"/>
      <c r="H15" s="27"/>
    </row>
    <row r="16" spans="1:8" ht="21" customHeight="1" x14ac:dyDescent="0.25">
      <c r="A16" s="26" t="s">
        <v>190</v>
      </c>
      <c r="B16" s="27">
        <v>12</v>
      </c>
      <c r="C16" s="27">
        <v>12</v>
      </c>
      <c r="D16" s="27">
        <v>19</v>
      </c>
      <c r="E16" s="27">
        <v>33</v>
      </c>
      <c r="F16" s="27">
        <v>10</v>
      </c>
      <c r="G16" s="27">
        <v>133</v>
      </c>
      <c r="H16" s="27">
        <v>219</v>
      </c>
    </row>
    <row r="17" spans="1:8" ht="29.25" customHeight="1" x14ac:dyDescent="0.25">
      <c r="A17" s="30" t="s">
        <v>191</v>
      </c>
      <c r="B17" s="31"/>
      <c r="C17" s="31"/>
      <c r="D17" s="31"/>
      <c r="E17" s="31"/>
      <c r="F17" s="31"/>
      <c r="G17" s="31"/>
      <c r="H17" s="32"/>
    </row>
    <row r="18" spans="1:8" x14ac:dyDescent="0.25">
      <c r="B18" s="23"/>
      <c r="C18" s="23"/>
      <c r="D18" s="29"/>
      <c r="E18" s="23"/>
      <c r="F18" s="23"/>
      <c r="G18" s="23"/>
      <c r="H18" s="23"/>
    </row>
  </sheetData>
  <mergeCells count="6">
    <mergeCell ref="A17:H17"/>
    <mergeCell ref="A2:H2"/>
    <mergeCell ref="A3:H3"/>
    <mergeCell ref="A1:H1"/>
    <mergeCell ref="A4:A5"/>
    <mergeCell ref="B4:H4"/>
  </mergeCells>
  <pageMargins left="0.48" right="0.4" top="0.57999999999999996" bottom="0.44" header="0.32" footer="0.22"/>
  <pageSetup firstPageNumber="148" fitToWidth="0" fitToHeight="0" orientation="landscape" useFirstPageNumber="1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E</vt:lpstr>
      <vt:lpstr>E!Print_Area</vt:lpstr>
      <vt:lpstr>E!Print_Area_MI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2025-02-10T06:49:45Z</cp:lastPrinted>
  <dcterms:created xsi:type="dcterms:W3CDTF">2002-12-26T09:18:20Z</dcterms:created>
  <dcterms:modified xsi:type="dcterms:W3CDTF">2025-04-03T11:41:00Z</dcterms:modified>
</cp:coreProperties>
</file>