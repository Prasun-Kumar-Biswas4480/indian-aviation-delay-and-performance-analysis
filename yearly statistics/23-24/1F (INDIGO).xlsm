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INDIGO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F!$A$1:$D$48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<sst xmlns="http://schemas.openxmlformats.org/spreadsheetml/2006/main" count="922" uniqueCount="211">
  <si>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</si>
  <si>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</si>
  <si>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</si>
  <si>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</si>
  <si>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</si>
  <si>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</si>
  <si>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</si>
  <si>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</si>
  <si>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</si>
  <si>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</si>
  <si>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</si>
  <si>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</si>
  <si>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</si>
  <si>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</si>
  <si>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</si>
  <si>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</si>
  <si>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</si>
  <si>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</si>
  <si>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</si>
  <si>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</si>
  <si>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</si>
  <si>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</si>
  <si>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</si>
  <si>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</si>
  <si>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</si>
  <si>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</si>
  <si>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</si>
  <si>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</si>
  <si>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</si>
  <si>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</si>
  <si>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</si>
  <si>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</si>
  <si>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</si>
  <si>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</si>
  <si>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</si>
  <si>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</si>
  <si>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</si>
  <si>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</si>
  <si>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</si>
  <si>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</si>
  <si>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</si>
  <si>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</si>
  <si>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</si>
  <si>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</si>
  <si>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</si>
  <si>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</si>
  <si>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</si>
  <si>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</si>
  <si>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</si>
  <si>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</si>
  <si>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</si>
  <si>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</si>
  <si>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</si>
  <si>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</si>
  <si>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</si>
  <si>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</si>
  <si>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</si>
  <si>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</si>
  <si>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</si>
  <si>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</si>
  <si>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</si>
  <si>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</si>
  <si>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</si>
  <si>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</si>
  <si>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</si>
  <si>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</si>
  <si>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</si>
  <si>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</si>
  <si>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</si>
  <si>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</si>
  <si>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</si>
  <si>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</si>
  <si>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</si>
  <si>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</si>
  <si>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</si>
  <si>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</si>
  <si>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</si>
  <si>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</si>
  <si>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</si>
  <si>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</si>
  <si>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</si>
  <si>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</si>
  <si>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</si>
  <si>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</si>
  <si>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</si>
  <si>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</si>
  <si>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</si>
  <si>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</si>
  <si>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</si>
  <si>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</si>
  <si>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</si>
  <si>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</si>
  <si>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</si>
  <si>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</si>
  <si>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</si>
  <si>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</si>
  <si>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</si>
  <si>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</si>
  <si>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</si>
  <si>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</si>
  <si>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</si>
  <si>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</si>
  <si>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</si>
  <si>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</si>
  <si>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</si>
  <si>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</si>
  <si>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</si>
  <si>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</si>
  <si>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</si>
  <si>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</si>
  <si>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</si>
  <si>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</si>
  <si>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</si>
  <si>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</si>
  <si>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</si>
  <si>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</si>
  <si>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</si>
  <si>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</si>
  <si>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</si>
  <si>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</si>
  <si>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</si>
  <si>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</si>
  <si>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</si>
  <si>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</si>
  <si>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</si>
  <si>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</si>
  <si>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</si>
  <si>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</si>
  <si>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</si>
  <si>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</si>
  <si>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</si>
  <si>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</si>
  <si>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</si>
  <si>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</si>
  <si>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</si>
  <si>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</si>
  <si>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</si>
  <si>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</si>
  <si>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</si>
  <si>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</si>
  <si>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</si>
  <si>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</si>
  <si>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</si>
  <si>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</si>
  <si>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</si>
  <si>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</si>
  <si>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</si>
  <si>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</si>
  <si>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</si>
  <si>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</si>
  <si>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</si>
  <si>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</si>
  <si>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</si>
  <si>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</si>
  <si>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</si>
  <si>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</si>
  <si>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</si>
  <si>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</si>
  <si>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</si>
  <si>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</si>
  <si>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</si>
  <si>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</si>
  <si>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</si>
  <si>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</si>
  <si>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</si>
  <si>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</si>
  <si>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</si>
  <si>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</si>
  <si>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</si>
  <si>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</si>
  <si>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</si>
  <si>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</si>
  <si>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</si>
  <si>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</si>
  <si>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</si>
  <si>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</si>
  <si>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</si>
  <si>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</si>
  <si>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</si>
  <si>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</si>
  <si>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</si>
  <si>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</si>
  <si>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</si>
  <si>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Airbus 320-200</t>
  </si>
  <si>
    <t>Airbus 321-271</t>
  </si>
  <si>
    <t>TIME SERIES DATA ON FLEET SIZE OF INDIGO</t>
  </si>
  <si>
    <t>2019-20</t>
  </si>
  <si>
    <t>2020-21</t>
  </si>
  <si>
    <t>2021-22</t>
  </si>
  <si>
    <t>A321-271</t>
  </si>
  <si>
    <t>2022-23</t>
  </si>
  <si>
    <t>A320-214</t>
  </si>
  <si>
    <t>A320-232</t>
  </si>
  <si>
    <t>A320-271N</t>
  </si>
  <si>
    <t>A321-271NX</t>
  </si>
  <si>
    <t>A320-251NX</t>
  </si>
  <si>
    <t>A321-251NX &amp; A321-252NX</t>
  </si>
  <si>
    <t>ATR 72-600</t>
  </si>
  <si>
    <t>B777-300ER</t>
  </si>
  <si>
    <t>A321-211</t>
  </si>
  <si>
    <t>A320-232 CEO</t>
  </si>
  <si>
    <t>A320-271N pw</t>
  </si>
  <si>
    <t>A321-271NX PW</t>
  </si>
  <si>
    <t>A321-271NX pw</t>
  </si>
  <si>
    <t>A320-251N CFM Leap</t>
  </si>
  <si>
    <t>A321-251NX and A321-252NX leap</t>
  </si>
  <si>
    <t>A321-211 p2f</t>
  </si>
  <si>
    <t>A320-214 CFM</t>
  </si>
  <si>
    <t>2023-24</t>
  </si>
  <si>
    <t xml:space="preserve"> तालिका 1F (इंडिगो) </t>
  </si>
  <si>
    <t>TABLE - 1F (INDIGO)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</si>
</sst>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1" fontId="16" fillId="0" borderId="0" applyFont="0" applyFill="0" applyBorder="0" applyAlignment="0" applyProtection="0"/>
  </cellStyleXfs>
  <cellXfs count="43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9" fontId="13" fillId="2" borderId="1" xfId="1" applyNumberFormat="1" applyFont="1" applyFill="1" applyBorder="1" applyAlignment="1" applyProtection="1">
      <alignment horizontal="left" wrapText="1"/>
    </xf>
    <xf numFmtId="169" fontId="10" fillId="2" borderId="1" xfId="1" applyNumberFormat="1" applyFont="1" applyFill="1" applyBorder="1" applyAlignment="1" applyProtection="1">
      <alignment horizontal="left" wrapText="1"/>
    </xf>
    <xf numFmtId="169" fontId="11" fillId="2" borderId="1" xfId="1" applyNumberFormat="1" applyFont="1" applyFill="1" applyBorder="1" applyAlignment="1" applyProtection="1">
      <alignment horizontal="left" wrapText="1"/>
    </xf>
    <xf numFmtId="169" fontId="10" fillId="2" borderId="1" xfId="1" applyNumberFormat="1" applyFont="1" applyFill="1" applyBorder="1" applyAlignment="1" applyProtection="1">
      <alignment horizontal="left" vertical="top" wrapText="1"/>
    </xf>
    <xf numFmtId="169" fontId="10" fillId="3" borderId="9" xfId="7" applyNumberFormat="1" applyFont="1" applyFill="1" applyBorder="1" applyAlignment="1" applyProtection="1">
      <alignment horizontal="left" vertical="center"/>
    </xf>
    <xf numFmtId="169" fontId="10" fillId="3" borderId="9" xfId="7" applyNumberFormat="1" applyFont="1" applyFill="1" applyBorder="1" applyAlignment="1" applyProtection="1">
      <alignment vertical="center"/>
    </xf>
    <xf numFmtId="169" fontId="11" fillId="3" borderId="8" xfId="7" applyNumberFormat="1" applyFont="1" applyFill="1" applyBorder="1" applyAlignment="1" applyProtection="1">
      <alignment vertical="center"/>
    </xf>
    <xf numFmtId="169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5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8" fillId="0" borderId="2" xfId="0" quotePrefix="1" applyFont="1" applyBorder="1" applyAlignment="1">
      <alignment horizontal="center" vertical="center" wrapText="1"/>
    </xf>
    <xf numFmtId="0" fontId="8" fillId="0" borderId="3" xfId="0" quotePrefix="1" applyFont="1" applyBorder="1" applyAlignment="1">
      <alignment horizontal="center" vertical="center" wrapText="1"/>
    </xf>
    <xf numFmtId="0" fontId="8" fillId="0" borderId="7" xfId="0" quotePrefix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95</v>
      </c>
      <c r="B1" s="7" t="s">
        <v>95</v>
      </c>
      <c r="C1" s="7" t="s">
        <v>95</v>
      </c>
      <c r="D1" s="7" t="s">
        <v>95</v>
      </c>
      <c r="E1" s="7" t="s">
        <v>95</v>
      </c>
      <c r="F1" s="7" t="s">
        <v>95</v>
      </c>
      <c r="G1" s="7" t="s">
        <v>95</v>
      </c>
      <c r="H1" s="7" t="s">
        <v>95</v>
      </c>
      <c r="I1" s="7" t="s">
        <v>95</v>
      </c>
      <c r="J1" s="7" t="s">
        <v>95</v>
      </c>
      <c r="K1" s="7" t="s">
        <v>95</v>
      </c>
      <c r="L1" s="7" t="s">
        <v>95</v>
      </c>
      <c r="M1" s="7" t="s">
        <v>95</v>
      </c>
      <c r="N1" s="7" t="s">
        <v>95</v>
      </c>
      <c r="O1" s="7" t="s">
        <v>95</v>
      </c>
      <c r="P1" s="7" t="s">
        <v>95</v>
      </c>
      <c r="Q1" s="7" t="s">
        <v>95</v>
      </c>
      <c r="R1" s="7" t="s">
        <v>95</v>
      </c>
      <c r="S1" s="7" t="s">
        <v>95</v>
      </c>
      <c r="T1" s="7" t="s">
        <v>95</v>
      </c>
      <c r="U1" s="7" t="s">
        <v>95</v>
      </c>
      <c r="V1" s="7" t="s">
        <v>95</v>
      </c>
      <c r="W1" s="7" t="s">
        <v>95</v>
      </c>
      <c r="X1" s="7" t="s">
        <v>95</v>
      </c>
      <c r="Y1" s="7" t="s">
        <v>95</v>
      </c>
      <c r="Z1" s="7" t="s">
        <v>95</v>
      </c>
      <c r="AA1" s="7" t="s">
        <v>95</v>
      </c>
      <c r="AB1" s="7" t="s">
        <v>95</v>
      </c>
      <c r="AC1" s="7" t="s">
        <v>95</v>
      </c>
      <c r="AD1" s="7" t="s">
        <v>95</v>
      </c>
      <c r="AE1" s="7" t="s">
        <v>95</v>
      </c>
      <c r="AF1" s="7" t="s">
        <v>95</v>
      </c>
      <c r="AG1" s="7" t="s">
        <v>95</v>
      </c>
      <c r="AH1" s="7" t="s">
        <v>95</v>
      </c>
      <c r="AI1" s="7" t="s">
        <v>95</v>
      </c>
      <c r="AJ1" s="7" t="s">
        <v>95</v>
      </c>
      <c r="AK1" s="7" t="s">
        <v>95</v>
      </c>
      <c r="AQ1" s="3" t="s">
        <v>30</v>
      </c>
      <c r="AR1" t="s">
        <v>20</v>
      </c>
    </row>
    <row r="2" spans="1:57">
      <c r="A2" s="7" t="s">
        <v>95</v>
      </c>
      <c r="B2" s="24" t="e">
        <f>#REF!</f>
        <v>#REF!</v>
      </c>
      <c r="C2" s="7" t="s">
        <v>95</v>
      </c>
      <c r="D2" s="7" t="s">
        <v>95</v>
      </c>
      <c r="E2" s="7" t="s">
        <v>95</v>
      </c>
      <c r="F2" s="7" t="s">
        <v>95</v>
      </c>
      <c r="G2" s="7" t="s">
        <v>95</v>
      </c>
      <c r="H2" s="7" t="s">
        <v>95</v>
      </c>
      <c r="I2" s="7" t="s">
        <v>95</v>
      </c>
      <c r="J2" s="7" t="s">
        <v>95</v>
      </c>
      <c r="K2" s="7" t="s">
        <v>95</v>
      </c>
      <c r="L2" s="7" t="s">
        <v>95</v>
      </c>
      <c r="M2" s="7" t="s">
        <v>95</v>
      </c>
      <c r="N2" s="7" t="s">
        <v>95</v>
      </c>
      <c r="O2" s="7" t="s">
        <v>95</v>
      </c>
      <c r="P2" s="7" t="s">
        <v>95</v>
      </c>
      <c r="Q2" s="7" t="s">
        <v>95</v>
      </c>
      <c r="R2" s="7" t="s">
        <v>95</v>
      </c>
      <c r="S2" s="7" t="s">
        <v>95</v>
      </c>
      <c r="T2" s="7" t="s">
        <v>95</v>
      </c>
      <c r="U2" s="7" t="s">
        <v>95</v>
      </c>
      <c r="V2" s="7" t="s">
        <v>95</v>
      </c>
      <c r="W2" s="7" t="s">
        <v>95</v>
      </c>
      <c r="X2" s="7" t="s">
        <v>95</v>
      </c>
      <c r="Y2" s="7" t="s">
        <v>95</v>
      </c>
      <c r="Z2" s="7" t="s">
        <v>95</v>
      </c>
      <c r="AA2" s="7" t="s">
        <v>95</v>
      </c>
      <c r="AB2" s="7" t="s">
        <v>95</v>
      </c>
      <c r="AC2" s="7" t="s">
        <v>95</v>
      </c>
      <c r="AD2" s="7" t="s">
        <v>95</v>
      </c>
      <c r="AE2" s="7" t="s">
        <v>95</v>
      </c>
      <c r="AF2" s="7" t="s">
        <v>95</v>
      </c>
      <c r="AG2" s="7" t="s">
        <v>95</v>
      </c>
      <c r="AH2" s="7" t="s">
        <v>95</v>
      </c>
      <c r="AI2" s="7" t="s">
        <v>95</v>
      </c>
      <c r="AJ2" s="7" t="s">
        <v>95</v>
      </c>
      <c r="AK2" s="7" t="s">
        <v>95</v>
      </c>
    </row>
    <row r="3" spans="1:57" ht="15.75" customHeight="1">
      <c r="A3" s="3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7" t="s">
        <v>95</v>
      </c>
      <c r="L3" s="7" t="s">
        <v>95</v>
      </c>
      <c r="M3" s="7" t="s">
        <v>95</v>
      </c>
      <c r="N3" s="7" t="s">
        <v>95</v>
      </c>
      <c r="O3" s="7" t="s">
        <v>95</v>
      </c>
      <c r="P3" s="7" t="s">
        <v>95</v>
      </c>
      <c r="Q3" s="7" t="s">
        <v>95</v>
      </c>
      <c r="R3" s="7" t="s">
        <v>95</v>
      </c>
      <c r="S3" s="7" t="s">
        <v>95</v>
      </c>
      <c r="T3" s="20" t="s">
        <v>95</v>
      </c>
      <c r="U3" s="3" t="s">
        <v>30</v>
      </c>
      <c r="V3" s="3" t="s">
        <v>31</v>
      </c>
      <c r="W3" s="3" t="s">
        <v>45</v>
      </c>
      <c r="X3" s="3" t="s">
        <v>46</v>
      </c>
      <c r="Y3" s="3" t="s">
        <v>47</v>
      </c>
      <c r="Z3" s="3" t="s">
        <v>48</v>
      </c>
      <c r="AA3" s="3" t="s">
        <v>32</v>
      </c>
      <c r="AB3" s="3" t="s">
        <v>33</v>
      </c>
      <c r="AC3" s="3" t="s">
        <v>34</v>
      </c>
      <c r="AD3" s="3" t="s">
        <v>49</v>
      </c>
      <c r="AE3" s="3" t="s">
        <v>50</v>
      </c>
      <c r="AF3" s="3" t="s">
        <v>51</v>
      </c>
      <c r="AG3" s="3" t="s">
        <v>52</v>
      </c>
      <c r="AH3" s="3" t="s">
        <v>53</v>
      </c>
      <c r="AI3" s="3" t="s">
        <v>54</v>
      </c>
      <c r="AJ3" s="3" t="s">
        <v>55</v>
      </c>
      <c r="AK3" s="3" t="s">
        <v>56</v>
      </c>
      <c r="AQ3" s="3" t="s">
        <v>31</v>
      </c>
      <c r="AR3" s="3" t="s">
        <v>45</v>
      </c>
      <c r="AS3" s="3" t="s">
        <v>46</v>
      </c>
      <c r="AT3" s="3" t="s">
        <v>47</v>
      </c>
      <c r="AU3" s="3" t="s">
        <v>48</v>
      </c>
      <c r="AV3" s="3" t="s">
        <v>32</v>
      </c>
      <c r="AW3" s="3" t="s">
        <v>33</v>
      </c>
      <c r="AX3" s="3" t="s">
        <v>34</v>
      </c>
      <c r="AY3" s="3" t="s">
        <v>49</v>
      </c>
      <c r="AZ3" s="3" t="s">
        <v>50</v>
      </c>
      <c r="BA3" s="3" t="s">
        <v>52</v>
      </c>
      <c r="BB3" s="3" t="s">
        <v>53</v>
      </c>
      <c r="BC3" s="3" t="s">
        <v>54</v>
      </c>
      <c r="BD3" s="3" t="s">
        <v>56</v>
      </c>
    </row>
    <row r="4" spans="1:57" ht="15.75" customHeight="1">
      <c r="A4" s="4" t="s">
        <v>14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2"/>
    </row>
    <row r="6" spans="1:57">
      <c r="A6" s="4" t="s">
        <v>20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2"/>
    </row>
    <row r="7" spans="1:57">
      <c r="A7" s="4" t="s">
        <v>17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>
      <c r="A8" s="4" t="s">
        <v>18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>
      <c r="A9" s="4" t="s">
        <v>19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>
      <c r="A10" s="4" t="s">
        <v>23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>
      <c r="A11" s="4" t="s">
        <v>25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>
      <c r="A12" s="4" t="s">
        <v>26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>
      <c r="A13" s="4" t="s">
        <v>169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>
      <c r="A14" s="4" t="s">
        <v>29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>
      <c r="A15" s="4" t="s">
        <v>38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>
      <c r="A16" s="4" t="s">
        <v>39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>
      <c r="A17" s="4" t="s">
        <v>40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>
      <c r="A20" s="4" t="s">
        <v>43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>
      <c r="T21" s="21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>
      <c r="T22" s="21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>
      <c r="T23" s="21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>
      <c r="T24" s="21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>
      <c r="T25" s="21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>
      <c r="T26" s="21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>
      <c r="T27" s="21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>
      <c r="T28" s="21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>
      <c r="T29" s="21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>
      <c r="T30" s="21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>
      <c r="T31" s="21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>
      <c r="T32" s="21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>
      <c r="T33" s="21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>
      <c r="T34" s="21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>
      <c r="T35" s="21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>
      <c r="T36" s="21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>
      <c r="T37" s="21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>
      <c r="T38" s="21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>
      <c r="T39" s="21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>
      <c r="T40" s="21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>
      <c r="T41" s="21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>
      <c r="T42" s="21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>
      <c r="T43" s="21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>
      <c r="T44" s="21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>
      <c r="T45" s="21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>
      <c r="T49" s="21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>
      <c r="T50" s="21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>
      <c r="T51" s="21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>
      <c r="T52" s="21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>
      <c r="T53" s="21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>
      <c r="T54" s="21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>
      <c r="T55" s="21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>
      <c r="T56" s="21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41</v>
      </c>
      <c r="B3" t="s">
        <v>60</v>
      </c>
      <c r="C3" t="s">
        <v>70</v>
      </c>
      <c r="V3" s="6" t="s">
        <v>71</v>
      </c>
      <c r="W3" s="3" t="s">
        <v>35</v>
      </c>
      <c r="X3" s="3" t="s">
        <v>57</v>
      </c>
      <c r="Y3" t="s">
        <v>69</v>
      </c>
      <c r="Z3" t="s">
        <v>60</v>
      </c>
      <c r="AA3" t="s">
        <v>70</v>
      </c>
    </row>
    <row r="4" spans="1:27">
      <c r="A4" s="4" t="s">
        <v>25</v>
      </c>
      <c r="B4" s="5">
        <v>2467</v>
      </c>
      <c r="C4" s="5">
        <v>3806.1423290000002</v>
      </c>
      <c r="V4" t="str">
        <f>W4&amp;X4</f>
        <v>AIR ASIAP1</v>
      </c>
      <c r="W4" t="s">
        <v>25</v>
      </c>
      <c r="X4" t="s">
        <v>5</v>
      </c>
      <c r="Y4" s="5">
        <v>263</v>
      </c>
      <c r="Z4" s="5">
        <v>311</v>
      </c>
      <c r="AA4" s="5">
        <v>1997.191354</v>
      </c>
    </row>
    <row r="5" spans="1:27">
      <c r="A5" s="4" t="s">
        <v>17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5"/>
      <c r="Z5" s="5"/>
      <c r="AA5" s="5"/>
    </row>
    <row r="6" spans="1:27">
      <c r="A6" s="4" t="s">
        <v>18</v>
      </c>
      <c r="B6" s="5">
        <v>1472</v>
      </c>
      <c r="C6" s="5">
        <v>2956.1</v>
      </c>
      <c r="V6" t="str">
        <f t="shared" si="0"/>
        <v>AIR ASIAP3</v>
      </c>
      <c r="W6" t="s">
        <v>25</v>
      </c>
      <c r="X6" t="s">
        <v>7</v>
      </c>
      <c r="Y6" s="5">
        <v>476</v>
      </c>
      <c r="Z6" s="5">
        <v>488</v>
      </c>
      <c r="AA6" s="5">
        <v>399.74493799999999</v>
      </c>
    </row>
    <row r="7" spans="1:27">
      <c r="A7" s="4" t="s">
        <v>40</v>
      </c>
      <c r="B7" s="5">
        <v>61052</v>
      </c>
      <c r="C7" s="5">
        <v>93775.981349000009</v>
      </c>
      <c r="V7" t="str">
        <f t="shared" si="0"/>
        <v>AIR ASIAP4</v>
      </c>
      <c r="W7" t="s">
        <v>25</v>
      </c>
      <c r="X7" t="s">
        <v>8</v>
      </c>
      <c r="Y7" s="5">
        <v>180</v>
      </c>
      <c r="Z7" s="5">
        <v>199</v>
      </c>
      <c r="AA7" s="5">
        <v>337.623289</v>
      </c>
    </row>
    <row r="8" spans="1:27">
      <c r="A8" s="4" t="s">
        <v>19</v>
      </c>
      <c r="B8" s="5">
        <v>648</v>
      </c>
      <c r="C8" s="5">
        <v>1392.7165519999999</v>
      </c>
      <c r="V8" t="str">
        <f t="shared" si="0"/>
        <v>AIR ASIAP4.1</v>
      </c>
      <c r="W8" t="s">
        <v>25</v>
      </c>
      <c r="X8" t="s">
        <v>36</v>
      </c>
      <c r="Y8" s="5">
        <v>180</v>
      </c>
      <c r="Z8" s="5">
        <v>199</v>
      </c>
      <c r="AA8" s="5">
        <v>337.623289</v>
      </c>
    </row>
    <row r="9" spans="1:27">
      <c r="A9" s="4" t="s">
        <v>27</v>
      </c>
      <c r="B9" s="5">
        <v>1389</v>
      </c>
      <c r="C9" s="5">
        <v>1617.18</v>
      </c>
      <c r="V9" t="str">
        <f t="shared" si="0"/>
        <v>AIR ASIAP4.2</v>
      </c>
      <c r="W9" t="s">
        <v>25</v>
      </c>
      <c r="X9" t="s">
        <v>37</v>
      </c>
      <c r="Y9" s="5"/>
      <c r="Z9" s="5"/>
      <c r="AA9" s="5"/>
    </row>
    <row r="10" spans="1:27">
      <c r="A10" s="4" t="s">
        <v>20</v>
      </c>
      <c r="B10" s="5">
        <v>4140</v>
      </c>
      <c r="C10" s="5">
        <v>6380</v>
      </c>
      <c r="V10" t="str">
        <f t="shared" si="0"/>
        <v>AIR ASIAP5</v>
      </c>
      <c r="W10" t="s">
        <v>25</v>
      </c>
      <c r="X10" t="s">
        <v>9</v>
      </c>
      <c r="Y10" s="5"/>
      <c r="Z10" s="5"/>
      <c r="AA10" s="5"/>
    </row>
    <row r="11" spans="1:27">
      <c r="A11" s="4" t="s">
        <v>14</v>
      </c>
      <c r="B11" s="5">
        <v>25201</v>
      </c>
      <c r="C11" s="5">
        <v>33290.79</v>
      </c>
      <c r="V11" t="str">
        <f t="shared" si="0"/>
        <v>AIR ASIAP6</v>
      </c>
      <c r="W11" t="s">
        <v>25</v>
      </c>
      <c r="X11" t="s">
        <v>10</v>
      </c>
      <c r="Y11" s="5">
        <v>1253</v>
      </c>
      <c r="Z11" s="5">
        <v>1270</v>
      </c>
      <c r="AA11" s="5">
        <v>733.95945900000004</v>
      </c>
    </row>
    <row r="12" spans="1:27">
      <c r="A12" s="4" t="s">
        <v>38</v>
      </c>
      <c r="B12" s="5">
        <v>12112</v>
      </c>
      <c r="C12" s="5">
        <v>34401.086552000001</v>
      </c>
      <c r="V12" t="str">
        <f t="shared" si="0"/>
        <v>AIR INDIAP1</v>
      </c>
      <c r="W12" t="s">
        <v>17</v>
      </c>
      <c r="X12" t="s">
        <v>5</v>
      </c>
      <c r="Y12" s="5">
        <v>1329</v>
      </c>
      <c r="Z12" s="5">
        <v>1318</v>
      </c>
      <c r="AA12" s="5">
        <v>12079.48</v>
      </c>
    </row>
    <row r="13" spans="1:27">
      <c r="A13" s="4" t="s">
        <v>39</v>
      </c>
      <c r="B13" s="5">
        <v>48940</v>
      </c>
      <c r="C13" s="5">
        <v>59374.894797000001</v>
      </c>
      <c r="V13" t="str">
        <f t="shared" si="0"/>
        <v>AIR INDIAP2</v>
      </c>
      <c r="W13" t="s">
        <v>17</v>
      </c>
      <c r="X13" t="s">
        <v>6</v>
      </c>
      <c r="Y13" s="5"/>
      <c r="Z13" s="5"/>
      <c r="AA13" s="5"/>
    </row>
    <row r="14" spans="1:27">
      <c r="A14" s="4" t="s">
        <v>23</v>
      </c>
      <c r="B14" s="5">
        <v>12094</v>
      </c>
      <c r="C14" s="5">
        <v>9401.4900000000016</v>
      </c>
      <c r="V14" t="str">
        <f t="shared" si="0"/>
        <v>AIR INDIAP3</v>
      </c>
      <c r="W14" t="s">
        <v>17</v>
      </c>
      <c r="X14" t="s">
        <v>7</v>
      </c>
      <c r="Y14" s="5">
        <v>1766</v>
      </c>
      <c r="Z14" s="5">
        <v>1703</v>
      </c>
      <c r="AA14" s="5">
        <v>5986.11</v>
      </c>
    </row>
    <row r="15" spans="1:27">
      <c r="A15" s="4" t="s">
        <v>29</v>
      </c>
      <c r="B15" s="5">
        <v>895</v>
      </c>
      <c r="C15" s="5">
        <v>801.87858399999982</v>
      </c>
      <c r="V15" t="str">
        <f t="shared" si="0"/>
        <v>AIR INDIAP4</v>
      </c>
      <c r="W15" t="s">
        <v>17</v>
      </c>
      <c r="X15" t="s">
        <v>8</v>
      </c>
      <c r="Y15" s="5">
        <v>577</v>
      </c>
      <c r="Z15" s="5">
        <v>543</v>
      </c>
      <c r="AA15" s="5">
        <v>69.31</v>
      </c>
    </row>
    <row r="16" spans="1:27">
      <c r="A16" s="4" t="s">
        <v>26</v>
      </c>
      <c r="B16" s="5">
        <v>2721</v>
      </c>
      <c r="C16" s="5">
        <v>4070.3999999999996</v>
      </c>
      <c r="V16" t="str">
        <f t="shared" si="0"/>
        <v>AIR INDIAP4.1</v>
      </c>
      <c r="W16" t="s">
        <v>17</v>
      </c>
      <c r="X16" t="s">
        <v>36</v>
      </c>
      <c r="Y16" s="5"/>
      <c r="Z16" s="5"/>
      <c r="AA16" s="5"/>
    </row>
    <row r="17" spans="1:27">
      <c r="A17" s="4" t="s">
        <v>42</v>
      </c>
      <c r="B17" s="5"/>
      <c r="C17" s="5"/>
      <c r="V17" t="str">
        <f t="shared" si="0"/>
        <v>AIR INDIAP4.2</v>
      </c>
      <c r="W17" t="s">
        <v>17</v>
      </c>
      <c r="X17" t="s">
        <v>37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17</v>
      </c>
      <c r="X18" t="s">
        <v>9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17</v>
      </c>
      <c r="X19" t="s">
        <v>10</v>
      </c>
      <c r="Y19" s="5">
        <v>4964</v>
      </c>
      <c r="Z19" s="5">
        <v>4439</v>
      </c>
      <c r="AA19" s="5">
        <v>8709.1299999999992</v>
      </c>
    </row>
    <row r="20" spans="1:27">
      <c r="A20" s="4" t="s">
        <v>43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18</v>
      </c>
      <c r="X20" t="s">
        <v>5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18</v>
      </c>
      <c r="X21" t="s">
        <v>6</v>
      </c>
      <c r="Y21" s="5"/>
      <c r="Z21" s="5"/>
      <c r="AA21" s="5"/>
    </row>
    <row r="22" spans="1:27">
      <c r="V22" t="str">
        <f t="shared" si="0"/>
        <v>AIR INDIA EXPRESSP3</v>
      </c>
      <c r="W22" t="s">
        <v>18</v>
      </c>
      <c r="X22" t="s">
        <v>7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18</v>
      </c>
      <c r="X23" t="s">
        <v>8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18</v>
      </c>
      <c r="X24" t="s">
        <v>36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18</v>
      </c>
      <c r="X25" t="s">
        <v>37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18</v>
      </c>
      <c r="X26" t="s">
        <v>9</v>
      </c>
      <c r="Y26" s="5"/>
      <c r="Z26" s="5"/>
      <c r="AA26" s="5"/>
    </row>
    <row r="27" spans="1:27">
      <c r="V27" t="str">
        <f t="shared" si="0"/>
        <v>AIR INDIA EXPRESSP6</v>
      </c>
      <c r="W27" t="s">
        <v>18</v>
      </c>
      <c r="X27" t="s">
        <v>10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40</v>
      </c>
      <c r="X28" t="s">
        <v>5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40</v>
      </c>
      <c r="X29" t="s">
        <v>6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40</v>
      </c>
      <c r="X30" t="s">
        <v>7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40</v>
      </c>
      <c r="X31" t="s">
        <v>8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40</v>
      </c>
      <c r="X32" t="s">
        <v>36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40</v>
      </c>
      <c r="X33" t="s">
        <v>37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40</v>
      </c>
      <c r="X34" t="s">
        <v>9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40</v>
      </c>
      <c r="X35" t="s">
        <v>10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19</v>
      </c>
      <c r="X36" t="s">
        <v>5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19</v>
      </c>
      <c r="X37" t="s">
        <v>6</v>
      </c>
      <c r="Y37" s="5"/>
      <c r="Z37" s="5"/>
      <c r="AA37" s="5"/>
    </row>
    <row r="38" spans="22:27">
      <c r="V38" t="str">
        <f t="shared" si="0"/>
        <v>ALLIANCE AIRP3</v>
      </c>
      <c r="W38" t="s">
        <v>19</v>
      </c>
      <c r="X38" t="s">
        <v>7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19</v>
      </c>
      <c r="X39" t="s">
        <v>8</v>
      </c>
      <c r="Y39" s="5"/>
      <c r="Z39" s="5"/>
      <c r="AA39" s="5"/>
    </row>
    <row r="40" spans="22:27">
      <c r="V40" t="str">
        <f t="shared" si="0"/>
        <v>ALLIANCE AIRP4.1</v>
      </c>
      <c r="W40" t="s">
        <v>19</v>
      </c>
      <c r="X40" t="s">
        <v>36</v>
      </c>
      <c r="Y40" s="5"/>
      <c r="Z40" s="5"/>
      <c r="AA40" s="5"/>
    </row>
    <row r="41" spans="22:27">
      <c r="V41" t="str">
        <f t="shared" si="0"/>
        <v>ALLIANCE AIRP4.2</v>
      </c>
      <c r="W41" t="s">
        <v>19</v>
      </c>
      <c r="X41" t="s">
        <v>37</v>
      </c>
      <c r="Y41" s="5"/>
      <c r="Z41" s="5"/>
      <c r="AA41" s="5"/>
    </row>
    <row r="42" spans="22:27">
      <c r="V42" t="str">
        <f t="shared" si="0"/>
        <v>ALLIANCE AIRP5</v>
      </c>
      <c r="W42" t="s">
        <v>19</v>
      </c>
      <c r="X42" t="s">
        <v>9</v>
      </c>
      <c r="Y42" s="5"/>
      <c r="Z42" s="5"/>
      <c r="AA42" s="5"/>
    </row>
    <row r="43" spans="22:27">
      <c r="V43" t="str">
        <f t="shared" si="0"/>
        <v>ALLIANCE AIRP6</v>
      </c>
      <c r="W43" t="s">
        <v>19</v>
      </c>
      <c r="X43" t="s">
        <v>10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27</v>
      </c>
      <c r="X44" t="s">
        <v>5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27</v>
      </c>
      <c r="X45" t="s">
        <v>6</v>
      </c>
      <c r="Y45" s="5"/>
      <c r="Z45" s="5"/>
      <c r="AA45" s="5"/>
    </row>
    <row r="46" spans="22:27">
      <c r="V46" t="str">
        <f t="shared" si="0"/>
        <v>Blue Dart P3</v>
      </c>
      <c r="W46" t="s">
        <v>27</v>
      </c>
      <c r="X46" t="s">
        <v>7</v>
      </c>
      <c r="Y46" s="5"/>
      <c r="Z46" s="5"/>
      <c r="AA46" s="5"/>
    </row>
    <row r="47" spans="22:27">
      <c r="V47" t="str">
        <f t="shared" si="0"/>
        <v>Blue Dart P4</v>
      </c>
      <c r="W47" t="s">
        <v>27</v>
      </c>
      <c r="X47" t="s">
        <v>8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27</v>
      </c>
      <c r="X48" t="s">
        <v>36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27</v>
      </c>
      <c r="X49" t="s">
        <v>37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27</v>
      </c>
      <c r="X50" t="s">
        <v>9</v>
      </c>
      <c r="Y50" s="5"/>
      <c r="Z50" s="5"/>
      <c r="AA50" s="5"/>
    </row>
    <row r="51" spans="22:27">
      <c r="V51" t="str">
        <f t="shared" si="0"/>
        <v>Blue Dart P6</v>
      </c>
      <c r="W51" t="s">
        <v>27</v>
      </c>
      <c r="X51" t="s">
        <v>10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20</v>
      </c>
      <c r="X52" t="s">
        <v>5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20</v>
      </c>
      <c r="X53" t="s">
        <v>6</v>
      </c>
      <c r="Y53" s="5"/>
      <c r="Z53" s="5"/>
      <c r="AA53" s="5"/>
    </row>
    <row r="54" spans="22:27">
      <c r="V54" t="str">
        <f t="shared" si="0"/>
        <v>GO AIRP3</v>
      </c>
      <c r="W54" t="s">
        <v>20</v>
      </c>
      <c r="X54" t="s">
        <v>7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20</v>
      </c>
      <c r="X55" t="s">
        <v>8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20</v>
      </c>
      <c r="X56" t="s">
        <v>36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20</v>
      </c>
      <c r="X57" t="s">
        <v>37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20</v>
      </c>
      <c r="X58" t="s">
        <v>9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20</v>
      </c>
      <c r="X59" t="s">
        <v>10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14</v>
      </c>
      <c r="X60" t="s">
        <v>5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14</v>
      </c>
      <c r="X61" t="s">
        <v>6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14</v>
      </c>
      <c r="X62" t="s">
        <v>7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14</v>
      </c>
      <c r="X63" t="s">
        <v>8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14</v>
      </c>
      <c r="X64" t="s">
        <v>36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14</v>
      </c>
      <c r="X65" t="s">
        <v>37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14</v>
      </c>
      <c r="X66" t="s">
        <v>9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14</v>
      </c>
      <c r="X67" t="s">
        <v>10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38</v>
      </c>
      <c r="X68" t="s">
        <v>5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38</v>
      </c>
      <c r="X69" t="s">
        <v>6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38</v>
      </c>
      <c r="X70" t="s">
        <v>7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38</v>
      </c>
      <c r="X71" t="s">
        <v>8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38</v>
      </c>
      <c r="X72" t="s">
        <v>36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38</v>
      </c>
      <c r="X73" t="s">
        <v>37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38</v>
      </c>
      <c r="X74" t="s">
        <v>9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38</v>
      </c>
      <c r="X75" t="s">
        <v>10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39</v>
      </c>
      <c r="X76" t="s">
        <v>5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39</v>
      </c>
      <c r="X77" t="s">
        <v>6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39</v>
      </c>
      <c r="X78" t="s">
        <v>7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39</v>
      </c>
      <c r="X79" t="s">
        <v>8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39</v>
      </c>
      <c r="X80" t="s">
        <v>36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39</v>
      </c>
      <c r="X81" t="s">
        <v>37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39</v>
      </c>
      <c r="X82" t="s">
        <v>9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39</v>
      </c>
      <c r="X83" t="s">
        <v>10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23</v>
      </c>
      <c r="X84" t="s">
        <v>5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23</v>
      </c>
      <c r="X85" t="s">
        <v>6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23</v>
      </c>
      <c r="X86" t="s">
        <v>7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23</v>
      </c>
      <c r="X87" t="s">
        <v>8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23</v>
      </c>
      <c r="X88" t="s">
        <v>36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23</v>
      </c>
      <c r="X89" t="s">
        <v>37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23</v>
      </c>
      <c r="X90" t="s">
        <v>9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23</v>
      </c>
      <c r="X91" t="s">
        <v>10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29</v>
      </c>
      <c r="X92" t="s">
        <v>5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29</v>
      </c>
      <c r="X93" t="s">
        <v>6</v>
      </c>
      <c r="Y93" s="5"/>
      <c r="Z93" s="5"/>
      <c r="AA93" s="5"/>
    </row>
    <row r="94" spans="22:27">
      <c r="V94" t="str">
        <f t="shared" si="1"/>
        <v>TRUEJETP3</v>
      </c>
      <c r="W94" t="s">
        <v>29</v>
      </c>
      <c r="X94" t="s">
        <v>7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29</v>
      </c>
      <c r="X95" t="s">
        <v>8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29</v>
      </c>
      <c r="X96" t="s">
        <v>36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29</v>
      </c>
      <c r="X97" t="s">
        <v>37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29</v>
      </c>
      <c r="X98" t="s">
        <v>9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29</v>
      </c>
      <c r="X99" t="s">
        <v>10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26</v>
      </c>
      <c r="X100" t="s">
        <v>5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26</v>
      </c>
      <c r="X101" t="s">
        <v>6</v>
      </c>
      <c r="Y101" s="5"/>
      <c r="Z101" s="5"/>
      <c r="AA101" s="5"/>
    </row>
    <row r="102" spans="22:27">
      <c r="V102" t="str">
        <f t="shared" si="1"/>
        <v>VISTARAP3</v>
      </c>
      <c r="W102" t="s">
        <v>26</v>
      </c>
      <c r="X102" t="s">
        <v>7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26</v>
      </c>
      <c r="X103" t="s">
        <v>8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26</v>
      </c>
      <c r="X104" t="s">
        <v>36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26</v>
      </c>
      <c r="X105" t="s">
        <v>37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26</v>
      </c>
      <c r="X106" t="s">
        <v>9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26</v>
      </c>
      <c r="X107" t="s">
        <v>10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42</v>
      </c>
      <c r="X108" t="s">
        <v>42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5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6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7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8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36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37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9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10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5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6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7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8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9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10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12</v>
      </c>
      <c r="C2" s="9" t="s">
        <v>97</v>
      </c>
      <c r="D2" s="9" t="s">
        <v>98</v>
      </c>
      <c r="E2" s="9" t="s">
        <v>13</v>
      </c>
      <c r="F2" s="9" t="s">
        <v>99</v>
      </c>
      <c r="G2" s="10" t="s">
        <v>100</v>
      </c>
      <c r="H2" s="10" t="s">
        <v>101</v>
      </c>
      <c r="I2" s="11" t="s">
        <v>102</v>
      </c>
      <c r="J2" s="10" t="s">
        <v>103</v>
      </c>
      <c r="K2" s="10" t="s">
        <v>104</v>
      </c>
      <c r="L2" s="10" t="s">
        <v>105</v>
      </c>
      <c r="M2" s="10" t="s">
        <v>106</v>
      </c>
      <c r="N2" s="10" t="s">
        <v>107</v>
      </c>
      <c r="O2" s="10" t="s">
        <v>108</v>
      </c>
      <c r="P2" s="10" t="s">
        <v>109</v>
      </c>
      <c r="Q2" s="10" t="s">
        <v>110</v>
      </c>
      <c r="R2" s="10" t="s">
        <v>111</v>
      </c>
      <c r="S2" s="12" t="s">
        <v>112</v>
      </c>
      <c r="T2" s="10" t="s">
        <v>113</v>
      </c>
      <c r="U2" s="10" t="s">
        <v>114</v>
      </c>
      <c r="V2" s="9" t="s">
        <v>115</v>
      </c>
      <c r="W2" s="10" t="s">
        <v>116</v>
      </c>
      <c r="X2" s="9" t="s">
        <v>117</v>
      </c>
      <c r="Y2" s="9" t="s">
        <v>118</v>
      </c>
    </row>
    <row r="3" spans="1:25">
      <c r="A3" s="3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7" customFormat="1">
      <c r="A4" s="19" t="s">
        <v>25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48"/>
  <sheetViews>
    <sheetView tabSelected="1" view="pageBreakPreview" zoomScaleNormal="75" zoomScaleSheetLayoutView="100" workbookViewId="0">
      <selection activeCell="F5" sqref="F5"/>
    </sheetView>
  </sheetViews>
  <sheetFormatPr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3" t="s">
        <v>209</v>
      </c>
      <c r="B1" s="34"/>
      <c r="C1" s="34"/>
      <c r="D1" s="35"/>
    </row>
    <row r="2" spans="1:4" ht="26.25" customHeight="1">
      <c r="A2" s="36" t="s">
        <v>210</v>
      </c>
      <c r="B2" s="37"/>
      <c r="C2" s="37"/>
      <c r="D2" s="38"/>
    </row>
    <row r="3" spans="1:4" ht="31.5" customHeight="1">
      <c r="A3" s="39" t="s">
        <v>185</v>
      </c>
      <c r="B3" s="39"/>
      <c r="C3" s="39"/>
      <c r="D3" s="39"/>
    </row>
    <row r="4" spans="1:4" ht="42.75" customHeight="1">
      <c r="A4" s="2" t="s">
        <v>0</v>
      </c>
      <c r="B4" s="2" t="s">
        <v>2</v>
      </c>
      <c r="C4" s="2" t="s">
        <v>1</v>
      </c>
      <c r="D4" s="2" t="s">
        <v>3</v>
      </c>
    </row>
    <row r="5" spans="1:4" ht="20.100000000000001" customHeight="1">
      <c r="A5" s="26" t="s">
        <v>11</v>
      </c>
      <c r="B5" s="25">
        <v>77</v>
      </c>
      <c r="C5" s="27" t="s">
        <v>183</v>
      </c>
      <c r="D5" s="25">
        <v>77</v>
      </c>
    </row>
    <row r="6" spans="1:4" ht="20.100000000000001" customHeight="1">
      <c r="A6" s="26" t="s">
        <v>4</v>
      </c>
      <c r="B6" s="17">
        <v>94</v>
      </c>
      <c r="C6" s="27" t="s">
        <v>183</v>
      </c>
      <c r="D6" s="25">
        <v>94</v>
      </c>
    </row>
    <row r="7" spans="1:4" ht="20.100000000000001" customHeight="1">
      <c r="A7" s="26" t="s">
        <v>16</v>
      </c>
      <c r="B7" s="17">
        <v>107</v>
      </c>
      <c r="C7" s="27" t="s">
        <v>183</v>
      </c>
      <c r="D7" s="25">
        <v>107</v>
      </c>
    </row>
    <row r="8" spans="1:4" ht="20.100000000000001" customHeight="1">
      <c r="A8" s="26" t="s">
        <v>58</v>
      </c>
      <c r="B8" s="17">
        <v>131</v>
      </c>
      <c r="C8" s="27" t="s">
        <v>183</v>
      </c>
      <c r="D8" s="25">
        <v>131</v>
      </c>
    </row>
    <row r="9" spans="1:4" ht="20.100000000000001" customHeight="1">
      <c r="A9" s="31" t="s">
        <v>173</v>
      </c>
      <c r="B9" s="32">
        <v>159</v>
      </c>
      <c r="C9" s="27" t="s">
        <v>183</v>
      </c>
      <c r="D9" s="25">
        <v>153</v>
      </c>
    </row>
    <row r="10" spans="1:4" ht="20.100000000000001" customHeight="1">
      <c r="A10" s="31"/>
      <c r="B10" s="32"/>
      <c r="C10" s="27" t="s">
        <v>172</v>
      </c>
      <c r="D10" s="25">
        <v>6</v>
      </c>
    </row>
    <row r="11" spans="1:4" ht="20.100000000000001" customHeight="1">
      <c r="A11" s="32" t="s">
        <v>182</v>
      </c>
      <c r="B11" s="32">
        <v>217</v>
      </c>
      <c r="C11" s="27" t="s">
        <v>183</v>
      </c>
      <c r="D11" s="25">
        <v>201</v>
      </c>
    </row>
    <row r="12" spans="1:4" ht="20.100000000000001" customHeight="1">
      <c r="A12" s="32"/>
      <c r="B12" s="32"/>
      <c r="C12" s="27" t="s">
        <v>184</v>
      </c>
      <c r="D12" s="25">
        <v>1</v>
      </c>
    </row>
    <row r="13" spans="1:4" ht="20.100000000000001" customHeight="1">
      <c r="A13" s="32"/>
      <c r="B13" s="32"/>
      <c r="C13" s="27" t="s">
        <v>172</v>
      </c>
      <c r="D13" s="25">
        <v>15</v>
      </c>
    </row>
    <row r="14" spans="1:4" ht="20.100000000000001" customHeight="1">
      <c r="A14" s="32" t="s">
        <v>186</v>
      </c>
      <c r="B14" s="32">
        <v>262</v>
      </c>
      <c r="C14" s="27" t="s">
        <v>183</v>
      </c>
      <c r="D14" s="25">
        <v>223</v>
      </c>
    </row>
    <row r="15" spans="1:4" ht="20.100000000000001" customHeight="1">
      <c r="A15" s="32"/>
      <c r="B15" s="32"/>
      <c r="C15" s="27" t="s">
        <v>184</v>
      </c>
      <c r="D15" s="25">
        <v>14</v>
      </c>
    </row>
    <row r="16" spans="1:4" ht="20.100000000000001" customHeight="1">
      <c r="A16" s="32"/>
      <c r="B16" s="32"/>
      <c r="C16" s="27" t="s">
        <v>172</v>
      </c>
      <c r="D16" s="25">
        <v>25</v>
      </c>
    </row>
    <row r="17" spans="1:4" ht="20.100000000000001" customHeight="1">
      <c r="A17" s="32" t="s">
        <v>187</v>
      </c>
      <c r="B17" s="32">
        <v>285</v>
      </c>
      <c r="C17" s="27" t="s">
        <v>183</v>
      </c>
      <c r="D17" s="25">
        <v>220</v>
      </c>
    </row>
    <row r="18" spans="1:4" ht="20.100000000000001" customHeight="1">
      <c r="A18" s="32"/>
      <c r="B18" s="32"/>
      <c r="C18" s="27" t="s">
        <v>184</v>
      </c>
      <c r="D18" s="25">
        <v>39</v>
      </c>
    </row>
    <row r="19" spans="1:4" ht="20.100000000000001" customHeight="1">
      <c r="A19" s="32"/>
      <c r="B19" s="32"/>
      <c r="C19" s="27" t="s">
        <v>172</v>
      </c>
      <c r="D19" s="25">
        <v>26</v>
      </c>
    </row>
    <row r="20" spans="1:4" ht="20.100000000000001" customHeight="1">
      <c r="A20" s="32" t="s">
        <v>188</v>
      </c>
      <c r="B20" s="32">
        <v>275</v>
      </c>
      <c r="C20" s="27" t="s">
        <v>15</v>
      </c>
      <c r="D20" s="25">
        <v>184</v>
      </c>
    </row>
    <row r="21" spans="1:4" ht="20.100000000000001" customHeight="1">
      <c r="A21" s="32"/>
      <c r="B21" s="32"/>
      <c r="C21" s="27" t="s">
        <v>189</v>
      </c>
      <c r="D21" s="25">
        <v>56</v>
      </c>
    </row>
    <row r="22" spans="1:4" ht="20.100000000000001" customHeight="1">
      <c r="A22" s="32"/>
      <c r="B22" s="32"/>
      <c r="C22" s="27" t="s">
        <v>172</v>
      </c>
      <c r="D22" s="25">
        <v>35</v>
      </c>
    </row>
    <row r="23" spans="1:4" ht="20.100000000000001" customHeight="1">
      <c r="A23" s="31" t="s">
        <v>190</v>
      </c>
      <c r="B23" s="32">
        <v>304</v>
      </c>
      <c r="C23" s="27" t="s">
        <v>191</v>
      </c>
      <c r="D23" s="25">
        <v>0</v>
      </c>
    </row>
    <row r="24" spans="1:4" ht="20.100000000000001" customHeight="1">
      <c r="A24" s="32"/>
      <c r="B24" s="32"/>
      <c r="C24" s="27" t="s">
        <v>192</v>
      </c>
      <c r="D24" s="25">
        <v>21</v>
      </c>
    </row>
    <row r="25" spans="1:4" ht="20.100000000000001" customHeight="1">
      <c r="A25" s="32"/>
      <c r="B25" s="32"/>
      <c r="C25" s="27" t="s">
        <v>193</v>
      </c>
      <c r="D25" s="25">
        <v>23</v>
      </c>
    </row>
    <row r="26" spans="1:4" ht="20.100000000000001" customHeight="1">
      <c r="A26" s="32"/>
      <c r="B26" s="32"/>
      <c r="C26" s="27" t="s">
        <v>193</v>
      </c>
      <c r="D26" s="25">
        <v>88</v>
      </c>
    </row>
    <row r="27" spans="1:4" ht="20.100000000000001" customHeight="1">
      <c r="A27" s="32"/>
      <c r="B27" s="32"/>
      <c r="C27" s="27" t="s">
        <v>194</v>
      </c>
      <c r="D27" s="25">
        <v>15</v>
      </c>
    </row>
    <row r="28" spans="1:4" ht="20.100000000000001" customHeight="1">
      <c r="A28" s="32"/>
      <c r="B28" s="32"/>
      <c r="C28" s="27" t="s">
        <v>194</v>
      </c>
      <c r="D28" s="25">
        <v>10</v>
      </c>
    </row>
    <row r="29" spans="1:4" ht="20.100000000000001" customHeight="1">
      <c r="A29" s="32"/>
      <c r="B29" s="32"/>
      <c r="C29" s="27" t="s">
        <v>195</v>
      </c>
      <c r="D29" s="25">
        <v>51</v>
      </c>
    </row>
    <row r="30" spans="1:4" ht="20.100000000000001" customHeight="1">
      <c r="A30" s="32"/>
      <c r="B30" s="32"/>
      <c r="C30" s="27" t="s">
        <v>196</v>
      </c>
      <c r="D30" s="25">
        <v>54</v>
      </c>
    </row>
    <row r="31" spans="1:4" ht="20.100000000000001" customHeight="1">
      <c r="A31" s="32"/>
      <c r="B31" s="32"/>
      <c r="C31" s="27" t="s">
        <v>197</v>
      </c>
      <c r="D31" s="25">
        <v>39</v>
      </c>
    </row>
    <row r="32" spans="1:4" ht="20.100000000000001" customHeight="1">
      <c r="A32" s="32"/>
      <c r="B32" s="32"/>
      <c r="C32" s="27" t="s">
        <v>198</v>
      </c>
      <c r="D32" s="25">
        <v>1</v>
      </c>
    </row>
    <row r="33" spans="1:4" ht="20.100000000000001" customHeight="1">
      <c r="A33" s="32"/>
      <c r="B33" s="32"/>
      <c r="C33" s="27" t="s">
        <v>199</v>
      </c>
      <c r="D33" s="25">
        <v>2</v>
      </c>
    </row>
    <row r="34" spans="1:4" ht="20.100000000000001" customHeight="1">
      <c r="A34" s="31" t="s">
        <v>208</v>
      </c>
      <c r="B34" s="32">
        <v>366</v>
      </c>
      <c r="C34" s="27" t="s">
        <v>200</v>
      </c>
      <c r="D34" s="25">
        <v>20</v>
      </c>
    </row>
    <row r="35" spans="1:4" ht="20.100000000000001" customHeight="1">
      <c r="A35" s="31"/>
      <c r="B35" s="32"/>
      <c r="C35" s="27" t="s">
        <v>201</v>
      </c>
      <c r="D35" s="25">
        <v>23</v>
      </c>
    </row>
    <row r="36" spans="1:4" ht="20.100000000000001" customHeight="1">
      <c r="A36" s="31"/>
      <c r="B36" s="32"/>
      <c r="C36" s="27" t="s">
        <v>201</v>
      </c>
      <c r="D36" s="25">
        <v>88</v>
      </c>
    </row>
    <row r="37" spans="1:4" ht="20.100000000000001" customHeight="1">
      <c r="A37" s="31"/>
      <c r="B37" s="32"/>
      <c r="C37" s="27" t="s">
        <v>202</v>
      </c>
      <c r="D37" s="25">
        <v>15</v>
      </c>
    </row>
    <row r="38" spans="1:4" ht="20.100000000000001" customHeight="1">
      <c r="A38" s="32"/>
      <c r="B38" s="32"/>
      <c r="C38" s="27" t="s">
        <v>203</v>
      </c>
      <c r="D38" s="25">
        <v>10</v>
      </c>
    </row>
    <row r="39" spans="1:4" ht="20.100000000000001" customHeight="1">
      <c r="A39" s="32"/>
      <c r="B39" s="32"/>
      <c r="C39" s="27" t="s">
        <v>204</v>
      </c>
      <c r="D39" s="25">
        <v>81</v>
      </c>
    </row>
    <row r="40" spans="1:4" ht="20.100000000000001" customHeight="1">
      <c r="A40" s="32"/>
      <c r="B40" s="32"/>
      <c r="C40" s="27" t="s">
        <v>205</v>
      </c>
      <c r="D40" s="25">
        <v>69</v>
      </c>
    </row>
    <row r="41" spans="1:4" ht="20.100000000000001" customHeight="1">
      <c r="A41" s="32"/>
      <c r="B41" s="32"/>
      <c r="C41" s="27" t="s">
        <v>197</v>
      </c>
      <c r="D41" s="25">
        <v>45</v>
      </c>
    </row>
    <row r="42" spans="1:4" ht="20.100000000000001" customHeight="1">
      <c r="A42" s="32"/>
      <c r="B42" s="32"/>
      <c r="C42" s="27" t="s">
        <v>206</v>
      </c>
      <c r="D42" s="25">
        <v>3</v>
      </c>
    </row>
    <row r="43" spans="1:4" ht="20.100000000000001" customHeight="1">
      <c r="A43" s="32"/>
      <c r="B43" s="32"/>
      <c r="C43" s="27" t="s">
        <v>198</v>
      </c>
      <c r="D43" s="25">
        <v>0</v>
      </c>
    </row>
    <row r="44" spans="1:4" ht="20.100000000000001" customHeight="1">
      <c r="A44" s="32"/>
      <c r="B44" s="32"/>
      <c r="C44" s="27" t="s">
        <v>198</v>
      </c>
      <c r="D44" s="25">
        <v>2</v>
      </c>
    </row>
    <row r="45" spans="1:4" ht="20.100000000000001" customHeight="1">
      <c r="A45" s="32"/>
      <c r="B45" s="32"/>
      <c r="C45" s="27" t="s">
        <v>200</v>
      </c>
      <c r="D45" s="25">
        <v>9</v>
      </c>
    </row>
    <row r="46" spans="1:4" ht="20.100000000000001" customHeight="1">
      <c r="A46" s="32"/>
      <c r="B46" s="32"/>
      <c r="C46" s="27" t="s">
        <v>207</v>
      </c>
      <c r="D46" s="25">
        <v>1</v>
      </c>
    </row>
    <row r="47" spans="1:4" ht="23.25" customHeight="1">
      <c r="A47" s="40" t="s">
        <v>176</v>
      </c>
      <c r="B47" s="41"/>
      <c r="C47" s="41"/>
      <c r="D47" s="42"/>
    </row>
    <row r="48" spans="1:4" ht="20.25" customHeight="1">
      <c r="A48" s="28" t="s">
        <v>177</v>
      </c>
      <c r="B48" s="29"/>
      <c r="C48" s="29"/>
      <c r="D48" s="30"/>
    </row>
  </sheetData>
  <mergeCells count="19">
    <mergeCell ref="A1:D1"/>
    <mergeCell ref="A2:D2"/>
    <mergeCell ref="A3:D3"/>
    <mergeCell ref="A47:D47"/>
    <mergeCell ref="A23:A33"/>
    <mergeCell ref="B23:B33"/>
    <mergeCell ref="A48:D48"/>
    <mergeCell ref="A9:A10"/>
    <mergeCell ref="B9:B10"/>
    <mergeCell ref="A20:A22"/>
    <mergeCell ref="B20:B22"/>
    <mergeCell ref="A11:A13"/>
    <mergeCell ref="B11:B13"/>
    <mergeCell ref="A14:A16"/>
    <mergeCell ref="B14:B16"/>
    <mergeCell ref="A17:A19"/>
    <mergeCell ref="B17:B19"/>
    <mergeCell ref="B34:B46"/>
    <mergeCell ref="A34:A46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2025-04-03T11:55:07Z</dcterms:modified>
</cp:coreProperties>
</file>