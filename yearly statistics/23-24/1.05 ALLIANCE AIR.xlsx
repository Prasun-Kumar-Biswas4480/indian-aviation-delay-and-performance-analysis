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ALLIANCE AIR (NATIONAL)\"/>
    </mc:Choice>
  </mc:AlternateContent>
  <bookViews>
    <workbookView xWindow="0" yWindow="0" windowWidth="24000" windowHeight="10725"/>
  </bookViews>
  <sheets>
    <sheet name="Alliance Air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2" l="1"/>
  <c r="P17" i="2"/>
  <c r="O17" i="2"/>
  <c r="L17" i="2"/>
  <c r="H17" i="2"/>
  <c r="G17" i="2"/>
  <c r="F17" i="2"/>
  <c r="E17" i="2"/>
  <c r="D17" i="2"/>
  <c r="C17" i="2"/>
  <c r="B17" i="2"/>
</calcChain>
</file>

<file path=xl/sharedStrings.xml><?xml version="1.0" encoding="utf-8"?>
<sst xmlns="http://schemas.openxmlformats.org/spreadsheetml/2006/main" count="162" uniqueCount="39">
  <si>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</si>
  <si>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</si>
  <si>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</si>
  <si>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</si>
  <si>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</si>
  <si>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</si>
  <si>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</si>
  <si>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</si>
  <si>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</si>
  <si>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</si>
  <si>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</si>
  <si>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</si>
  <si>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</si>
  <si>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</si>
  <si>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</si>
  <si>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</si>
  <si>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</si>
  <si>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</si>
  <si>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</si>
  <si>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</si>
  <si>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</si>
  <si>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</si>
  <si>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</si>
  <si>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</si>
  <si>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-</t>
  </si>
  <si>
    <t>2018-19</t>
  </si>
  <si>
    <t xml:space="preserve">तालिका - 1.05 (एलाइंस एयर) </t>
  </si>
  <si>
    <t>TABLE - 1.05 (ALLIANCE AIR)</t>
  </si>
  <si>
    <t>SOURCE: ICAO ATR FORM 'A' FURNISHED BY ALLIANCE AIR</t>
  </si>
  <si>
    <t>2019-20</t>
  </si>
  <si>
    <t>YEAR ON YEAR GROWTH AND CAGR FOR LAST TEN YEARS OF ALLIANCE AIR ON SCHEDULED INTERNATIONAL SERVICES (ALL AIR TRAFFIC AND OPERATING STATISTICS)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</si>
  <si>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</si>
  <si>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</si>
  <si>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</si>
  <si>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2023-24</t>
  </si>
  <si>
    <t>Note: Growth has been calculated with respect to preceeding year while Compound Annual Growth Rate (CAGR) has been calculating taking 2013-14 as a Base Year</t>
  </si>
  <si>
    <t>YOY growth</t>
  </si>
  <si>
    <t>CAGR last 10 years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</si>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</sst>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B1mmmm/yy"/>
    <numFmt numFmtId="166" formatCode="_(* #,##0.0_);_(* \(#,##0.0\);_(* &quot;-&quot;??_);_(@_)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0" fillId="4" borderId="1" xfId="2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Font="1" applyBorder="1" applyAlignment="1" applyProtection="1">
      <alignment horizontal="center" vertical="center" textRotation="90" wrapText="1"/>
    </xf>
    <xf numFmtId="165" fontId="3" fillId="5" borderId="1" xfId="3" applyNumberFormat="1" applyBorder="1" applyAlignment="1" applyProtection="1">
      <alignment horizontal="center" vertical="center" wrapText="1"/>
    </xf>
    <xf numFmtId="166" fontId="3" fillId="5" borderId="1" xfId="3" applyNumberFormat="1" applyBorder="1" applyAlignment="1">
      <alignment horizontal="center" vertical="center"/>
    </xf>
    <xf numFmtId="167" fontId="3" fillId="5" borderId="1" xfId="3" applyNumberFormat="1" applyBorder="1" applyAlignment="1">
      <alignment horizontal="center" vertical="center"/>
    </xf>
    <xf numFmtId="43" fontId="3" fillId="5" borderId="1" xfId="3" applyNumberFormat="1" applyBorder="1" applyAlignment="1">
      <alignment horizontal="center" vertical="center"/>
    </xf>
    <xf numFmtId="165" fontId="3" fillId="7" borderId="1" xfId="3" applyNumberFormat="1" applyFill="1" applyBorder="1" applyAlignment="1" applyProtection="1">
      <alignment horizontal="center" vertical="center" wrapText="1"/>
    </xf>
    <xf numFmtId="166" fontId="6" fillId="0" borderId="1" xfId="4" applyNumberFormat="1" applyFont="1" applyFill="1" applyBorder="1" applyAlignment="1">
      <alignment horizontal="center" vertical="center"/>
    </xf>
    <xf numFmtId="167" fontId="6" fillId="0" borderId="1" xfId="4" applyNumberFormat="1" applyFont="1" applyFill="1" applyBorder="1" applyAlignment="1">
      <alignment horizontal="center" vertical="center"/>
    </xf>
    <xf numFmtId="43" fontId="6" fillId="0" borderId="1" xfId="4" applyNumberFormat="1" applyFont="1" applyFill="1" applyBorder="1" applyAlignment="1">
      <alignment horizontal="center" vertical="center"/>
    </xf>
    <xf numFmtId="164" fontId="3" fillId="6" borderId="1" xfId="5" applyNumberFormat="1" applyFill="1" applyBorder="1" applyAlignment="1" applyProtection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165" fontId="0" fillId="5" borderId="1" xfId="3" applyNumberFormat="1" applyFont="1" applyBorder="1" applyAlignment="1" applyProtection="1">
      <alignment horizontal="center" vertical="center" wrapText="1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6">
    <cellStyle name="20% - Accent6" xfId="2" builtinId="50"/>
    <cellStyle name="40% - Accent6" xfId="3" builtinId="51"/>
    <cellStyle name="Accent6" xfId="1" builtinId="49"/>
    <cellStyle name="Comma" xfId="4" builtinId="3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zoomScaleNormal="100" zoomScaleSheetLayoutView="100" workbookViewId="0">
      <selection activeCell="G12" sqref="G12"/>
    </sheetView>
  </sheetViews>
  <sheetFormatPr defaultRowHeight="15" x14ac:dyDescent="0.25"/>
  <cols>
    <col min="1" max="1" width="14.140625" customWidth="1"/>
    <col min="2" max="2" width="8.7109375" customWidth="1"/>
    <col min="3" max="3" width="8.28515625" customWidth="1"/>
    <col min="4" max="4" width="8.5703125" customWidth="1"/>
    <col min="5" max="5" width="9.5703125" customWidth="1"/>
    <col min="6" max="6" width="8.140625" customWidth="1"/>
    <col min="7" max="7" width="8" customWidth="1"/>
    <col min="8" max="8" width="7.140625" customWidth="1"/>
    <col min="9" max="9" width="9.7109375" customWidth="1"/>
    <col min="10" max="10" width="8.7109375" customWidth="1"/>
    <col min="11" max="11" width="9.42578125" customWidth="1"/>
    <col min="12" max="12" width="8.5703125" customWidth="1"/>
    <col min="13" max="13" width="8.140625" customWidth="1"/>
    <col min="14" max="14" width="7.7109375" customWidth="1"/>
    <col min="15" max="15" width="8.7109375" customWidth="1"/>
    <col min="16" max="16" width="8.28515625" customWidth="1"/>
    <col min="17" max="17" width="6.5703125" customWidth="1"/>
  </cols>
  <sheetData>
    <row r="1" spans="1:17" x14ac:dyDescent="0.25">
      <c r="A1" s="15" t="s">
        <v>26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27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30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20" t="s">
        <v>3</v>
      </c>
      <c r="H4" s="2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20" t="s">
        <v>7</v>
      </c>
      <c r="Q4" s="20" t="s">
        <v>8</v>
      </c>
    </row>
    <row r="5" spans="1:17" ht="93" x14ac:dyDescent="0.25">
      <c r="A5" s="18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21"/>
      <c r="H5" s="21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21"/>
      <c r="Q5" s="21"/>
    </row>
    <row r="6" spans="1:17" x14ac:dyDescent="0.25">
      <c r="A6" s="4" t="s">
        <v>19</v>
      </c>
      <c r="B6" s="5" t="s">
        <v>24</v>
      </c>
      <c r="C6" s="5" t="s">
        <v>24</v>
      </c>
      <c r="D6" s="5" t="s">
        <v>24</v>
      </c>
      <c r="E6" s="6" t="s">
        <v>24</v>
      </c>
      <c r="F6" s="5" t="s">
        <v>24</v>
      </c>
      <c r="G6" s="5" t="s">
        <v>24</v>
      </c>
      <c r="H6" s="5" t="s">
        <v>24</v>
      </c>
      <c r="I6" s="5" t="s">
        <v>24</v>
      </c>
      <c r="J6" s="5" t="s">
        <v>24</v>
      </c>
      <c r="K6" s="5" t="s">
        <v>24</v>
      </c>
      <c r="L6" s="7" t="s">
        <v>24</v>
      </c>
      <c r="M6" s="7" t="s">
        <v>24</v>
      </c>
      <c r="N6" s="7" t="s">
        <v>24</v>
      </c>
      <c r="O6" s="7" t="s">
        <v>24</v>
      </c>
      <c r="P6" s="7" t="s">
        <v>24</v>
      </c>
      <c r="Q6" s="5" t="s">
        <v>24</v>
      </c>
    </row>
    <row r="7" spans="1:17" x14ac:dyDescent="0.25">
      <c r="A7" s="8" t="s">
        <v>20</v>
      </c>
      <c r="B7" s="9" t="s">
        <v>24</v>
      </c>
      <c r="C7" s="9" t="s">
        <v>24</v>
      </c>
      <c r="D7" s="9" t="s">
        <v>24</v>
      </c>
      <c r="E7" s="10" t="s">
        <v>24</v>
      </c>
      <c r="F7" s="9" t="s">
        <v>24</v>
      </c>
      <c r="G7" s="9" t="s">
        <v>24</v>
      </c>
      <c r="H7" s="9" t="s">
        <v>24</v>
      </c>
      <c r="I7" s="9" t="s">
        <v>24</v>
      </c>
      <c r="J7" s="9" t="s">
        <v>24</v>
      </c>
      <c r="K7" s="9" t="s">
        <v>24</v>
      </c>
      <c r="L7" s="11" t="s">
        <v>24</v>
      </c>
      <c r="M7" s="11" t="s">
        <v>24</v>
      </c>
      <c r="N7" s="11" t="s">
        <v>24</v>
      </c>
      <c r="O7" s="11" t="s">
        <v>24</v>
      </c>
      <c r="P7" s="11" t="s">
        <v>24</v>
      </c>
      <c r="Q7" s="9" t="s">
        <v>24</v>
      </c>
    </row>
    <row r="8" spans="1:17" x14ac:dyDescent="0.25">
      <c r="A8" s="4" t="s">
        <v>21</v>
      </c>
      <c r="B8" s="5" t="s">
        <v>24</v>
      </c>
      <c r="C8" s="5" t="s">
        <v>24</v>
      </c>
      <c r="D8" s="5" t="s">
        <v>24</v>
      </c>
      <c r="E8" s="6" t="s">
        <v>24</v>
      </c>
      <c r="F8" s="5" t="s">
        <v>24</v>
      </c>
      <c r="G8" s="5" t="s">
        <v>24</v>
      </c>
      <c r="H8" s="5" t="s">
        <v>24</v>
      </c>
      <c r="I8" s="5" t="s">
        <v>24</v>
      </c>
      <c r="J8" s="5" t="s">
        <v>24</v>
      </c>
      <c r="K8" s="5" t="s">
        <v>24</v>
      </c>
      <c r="L8" s="7" t="s">
        <v>24</v>
      </c>
      <c r="M8" s="7" t="s">
        <v>24</v>
      </c>
      <c r="N8" s="7" t="s">
        <v>24</v>
      </c>
      <c r="O8" s="7" t="s">
        <v>24</v>
      </c>
      <c r="P8" s="7" t="s">
        <v>24</v>
      </c>
      <c r="Q8" s="5" t="s">
        <v>24</v>
      </c>
    </row>
    <row r="9" spans="1:17" x14ac:dyDescent="0.25">
      <c r="A9" s="8" t="s">
        <v>22</v>
      </c>
      <c r="B9" s="9" t="s">
        <v>24</v>
      </c>
      <c r="C9" s="9" t="s">
        <v>24</v>
      </c>
      <c r="D9" s="9" t="s">
        <v>24</v>
      </c>
      <c r="E9" s="10" t="s">
        <v>24</v>
      </c>
      <c r="F9" s="9" t="s">
        <v>24</v>
      </c>
      <c r="G9" s="9" t="s">
        <v>24</v>
      </c>
      <c r="H9" s="9" t="s">
        <v>24</v>
      </c>
      <c r="I9" s="9" t="s">
        <v>24</v>
      </c>
      <c r="J9" s="9" t="s">
        <v>24</v>
      </c>
      <c r="K9" s="9" t="s">
        <v>24</v>
      </c>
      <c r="L9" s="11" t="s">
        <v>24</v>
      </c>
      <c r="M9" s="11" t="s">
        <v>24</v>
      </c>
      <c r="N9" s="11" t="s">
        <v>24</v>
      </c>
      <c r="O9" s="11" t="s">
        <v>24</v>
      </c>
      <c r="P9" s="11" t="s">
        <v>24</v>
      </c>
      <c r="Q9" s="9" t="s">
        <v>24</v>
      </c>
    </row>
    <row r="10" spans="1:17" x14ac:dyDescent="0.25">
      <c r="A10" s="4" t="s">
        <v>23</v>
      </c>
      <c r="B10" s="5" t="s">
        <v>24</v>
      </c>
      <c r="C10" s="5" t="s">
        <v>24</v>
      </c>
      <c r="D10" s="5" t="s">
        <v>24</v>
      </c>
      <c r="E10" s="6" t="s">
        <v>24</v>
      </c>
      <c r="F10" s="5" t="s">
        <v>24</v>
      </c>
      <c r="G10" s="5" t="s">
        <v>24</v>
      </c>
      <c r="H10" s="5" t="s">
        <v>24</v>
      </c>
      <c r="I10" s="5" t="s">
        <v>24</v>
      </c>
      <c r="J10" s="5" t="s">
        <v>24</v>
      </c>
      <c r="K10" s="5" t="s">
        <v>24</v>
      </c>
      <c r="L10" s="7" t="s">
        <v>24</v>
      </c>
      <c r="M10" s="7" t="s">
        <v>24</v>
      </c>
      <c r="N10" s="7" t="s">
        <v>24</v>
      </c>
      <c r="O10" s="7" t="s">
        <v>24</v>
      </c>
      <c r="P10" s="7" t="s">
        <v>24</v>
      </c>
      <c r="Q10" s="5" t="s">
        <v>24</v>
      </c>
    </row>
    <row r="11" spans="1:17" x14ac:dyDescent="0.25">
      <c r="A11" s="8" t="s">
        <v>25</v>
      </c>
      <c r="B11" s="9" t="s">
        <v>24</v>
      </c>
      <c r="C11" s="9" t="s">
        <v>24</v>
      </c>
      <c r="D11" s="9" t="s">
        <v>24</v>
      </c>
      <c r="E11" s="10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11" t="s">
        <v>24</v>
      </c>
      <c r="M11" s="11" t="s">
        <v>24</v>
      </c>
      <c r="N11" s="11" t="s">
        <v>24</v>
      </c>
      <c r="O11" s="11" t="s">
        <v>24</v>
      </c>
      <c r="P11" s="11" t="s">
        <v>24</v>
      </c>
      <c r="Q11" s="9" t="s">
        <v>24</v>
      </c>
    </row>
    <row r="12" spans="1:17" x14ac:dyDescent="0.25">
      <c r="A12" s="4" t="s">
        <v>29</v>
      </c>
      <c r="B12" s="5">
        <v>131</v>
      </c>
      <c r="C12" s="5">
        <v>163.60000000000002</v>
      </c>
      <c r="D12" s="5">
        <v>46.400000000000006</v>
      </c>
      <c r="E12" s="6">
        <v>4294</v>
      </c>
      <c r="F12" s="5">
        <v>1.5199999999999998</v>
      </c>
      <c r="G12" s="5">
        <v>3.2469999999999999</v>
      </c>
      <c r="H12" s="5">
        <v>46.812442254388664</v>
      </c>
      <c r="I12" s="5" t="s">
        <v>24</v>
      </c>
      <c r="J12" s="5" t="s">
        <v>24</v>
      </c>
      <c r="K12" s="5" t="s">
        <v>24</v>
      </c>
      <c r="L12" s="7">
        <v>0.13819999999999999</v>
      </c>
      <c r="M12" s="7"/>
      <c r="N12" s="7"/>
      <c r="O12" s="7">
        <v>0.13819999999999999</v>
      </c>
      <c r="P12" s="7">
        <v>0.30130000000000001</v>
      </c>
      <c r="Q12" s="5">
        <v>45.867905741785592</v>
      </c>
    </row>
    <row r="13" spans="1:17" x14ac:dyDescent="0.25">
      <c r="A13" s="8" t="s">
        <v>31</v>
      </c>
      <c r="B13" s="9"/>
      <c r="C13" s="9"/>
      <c r="D13" s="9"/>
      <c r="E13" s="10"/>
      <c r="F13" s="9"/>
      <c r="G13" s="9"/>
      <c r="H13" s="9"/>
      <c r="I13" s="9" t="s">
        <v>24</v>
      </c>
      <c r="J13" s="9" t="s">
        <v>24</v>
      </c>
      <c r="K13" s="9" t="s">
        <v>24</v>
      </c>
      <c r="L13" s="11"/>
      <c r="M13" s="11"/>
      <c r="N13" s="11"/>
      <c r="O13" s="11"/>
      <c r="P13" s="11"/>
      <c r="Q13" s="9"/>
    </row>
    <row r="14" spans="1:17" x14ac:dyDescent="0.25">
      <c r="A14" s="14" t="s">
        <v>38</v>
      </c>
      <c r="B14" s="5" t="s">
        <v>24</v>
      </c>
      <c r="C14" s="5" t="s">
        <v>24</v>
      </c>
      <c r="D14" s="5" t="s">
        <v>24</v>
      </c>
      <c r="E14" s="6" t="s">
        <v>24</v>
      </c>
      <c r="F14" s="5" t="s">
        <v>24</v>
      </c>
      <c r="G14" s="5" t="s">
        <v>24</v>
      </c>
      <c r="H14" s="5" t="s">
        <v>24</v>
      </c>
      <c r="I14" s="5" t="s">
        <v>24</v>
      </c>
      <c r="J14" s="5" t="s">
        <v>24</v>
      </c>
      <c r="K14" s="5" t="s">
        <v>24</v>
      </c>
      <c r="L14" s="7" t="s">
        <v>24</v>
      </c>
      <c r="M14" s="7"/>
      <c r="N14" s="7"/>
      <c r="O14" s="7" t="s">
        <v>24</v>
      </c>
      <c r="P14" s="7" t="s">
        <v>24</v>
      </c>
      <c r="Q14" s="5" t="s">
        <v>24</v>
      </c>
    </row>
    <row r="15" spans="1:17" ht="16.5" customHeight="1" x14ac:dyDescent="0.25">
      <c r="A15" s="8" t="s">
        <v>33</v>
      </c>
      <c r="B15" s="9">
        <v>124</v>
      </c>
      <c r="C15" s="9">
        <v>167.33333333333334</v>
      </c>
      <c r="D15" s="9">
        <v>43.400000000000006</v>
      </c>
      <c r="E15" s="10">
        <v>6157</v>
      </c>
      <c r="F15" s="9">
        <v>2.1793559999999998</v>
      </c>
      <c r="G15" s="9">
        <v>2.8034479999999999</v>
      </c>
      <c r="H15" s="9">
        <v>77.738413553595436</v>
      </c>
      <c r="I15" s="9" t="s">
        <v>24</v>
      </c>
      <c r="J15" s="9" t="s">
        <v>24</v>
      </c>
      <c r="K15" s="9" t="s">
        <v>24</v>
      </c>
      <c r="L15" s="11">
        <v>0.200787728</v>
      </c>
      <c r="M15" s="11"/>
      <c r="N15" s="11"/>
      <c r="O15" s="11">
        <v>0.200787728</v>
      </c>
      <c r="P15" s="11">
        <v>0.28829759999999999</v>
      </c>
      <c r="Q15" s="9">
        <v>69.645993584407222</v>
      </c>
    </row>
    <row r="16" spans="1:17" x14ac:dyDescent="0.25">
      <c r="A16" s="4" t="s">
        <v>34</v>
      </c>
      <c r="B16" s="5">
        <v>622</v>
      </c>
      <c r="C16" s="5">
        <v>765</v>
      </c>
      <c r="D16" s="5">
        <v>220.18800000000002</v>
      </c>
      <c r="E16" s="6">
        <v>32293</v>
      </c>
      <c r="F16" s="5">
        <v>11.431722000000001</v>
      </c>
      <c r="G16" s="5">
        <v>14.86092</v>
      </c>
      <c r="H16" s="5">
        <v>76.92472606002859</v>
      </c>
      <c r="I16" s="5" t="s">
        <v>24</v>
      </c>
      <c r="J16" s="5" t="s">
        <v>24</v>
      </c>
      <c r="K16" s="5" t="s">
        <v>24</v>
      </c>
      <c r="L16" s="7">
        <v>1.0974452879999999</v>
      </c>
      <c r="M16" s="7"/>
      <c r="N16" s="7"/>
      <c r="O16" s="7">
        <v>1.0974452879999999</v>
      </c>
      <c r="P16" s="7">
        <v>1.4972783999999999</v>
      </c>
      <c r="Q16" s="5">
        <v>73.296007475964387</v>
      </c>
    </row>
    <row r="17" spans="1:17" x14ac:dyDescent="0.25">
      <c r="A17" s="1" t="s">
        <v>36</v>
      </c>
      <c r="B17" s="12">
        <f t="shared" ref="B17:H17" si="0">(B16-B15)/B15</f>
        <v>4.0161290322580649</v>
      </c>
      <c r="C17" s="12">
        <f t="shared" si="0"/>
        <v>3.5717131474103581</v>
      </c>
      <c r="D17" s="12">
        <f t="shared" si="0"/>
        <v>4.073456221198156</v>
      </c>
      <c r="E17" s="12">
        <f t="shared" si="0"/>
        <v>4.2449244762059442</v>
      </c>
      <c r="F17" s="12">
        <f t="shared" si="0"/>
        <v>4.2454587501996004</v>
      </c>
      <c r="G17" s="12">
        <f t="shared" si="0"/>
        <v>4.3009436950498108</v>
      </c>
      <c r="H17" s="12">
        <f t="shared" si="0"/>
        <v>-1.0466993811313923E-2</v>
      </c>
      <c r="I17" s="12"/>
      <c r="J17" s="12"/>
      <c r="K17" s="12"/>
      <c r="L17" s="12">
        <f>(L16-L15)/L15</f>
        <v>4.4656990192149584</v>
      </c>
      <c r="M17" s="12"/>
      <c r="N17" s="12"/>
      <c r="O17" s="12">
        <f>(O16-O15)/O15</f>
        <v>4.4656990192149584</v>
      </c>
      <c r="P17" s="12">
        <f>(P16-P15)/P15</f>
        <v>4.1935166994106092</v>
      </c>
      <c r="Q17" s="12">
        <f>(Q16-Q15)/Q15</f>
        <v>5.2408095623383472E-2</v>
      </c>
    </row>
    <row r="18" spans="1:17" ht="32.25" customHeight="1" x14ac:dyDescent="0.25">
      <c r="A18" s="13" t="s">
        <v>37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5" t="s">
        <v>28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</row>
    <row r="20" spans="1:17" ht="15" customHeight="1" x14ac:dyDescent="0.25">
      <c r="A20" s="23" t="s">
        <v>35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spans="1:17" ht="30.75" customHeight="1" x14ac:dyDescent="0.25">
      <c r="A21" s="22" t="s">
        <v>32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scale="9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2020-05-11T08:45:20Z</cp:lastPrinted>
  <dcterms:created xsi:type="dcterms:W3CDTF">2018-10-29T04:00:15Z</dcterms:created>
  <dcterms:modified xsi:type="dcterms:W3CDTF">2025-01-24T09:14:28Z</dcterms:modified>
</cp:coreProperties>
</file>