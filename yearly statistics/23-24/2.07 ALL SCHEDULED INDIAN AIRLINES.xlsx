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xWindow="0" yWindow="0" windowWidth="24000" windowHeight="10725"/>
  </bookViews>
  <sheets>
    <sheet name="All" sheetId="2" r:id="rId1"/>
  </sheets>
  <externalReferences>
    <externalReference r:id="rId2"/>
  </externalReferences>
  <definedNames>
    <definedName name="_xlnm.Print_Area" localSheetId="0">All!$A$1:$L$33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2" l="1"/>
  <c r="J17" i="2"/>
  <c r="J16" i="2"/>
  <c r="J15" i="2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<sst xmlns="http://schemas.openxmlformats.org/spreadsheetml/2006/main" count="62" uniqueCount="38">
  <si>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</si>
  <si>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</si>
  <si>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</si>
  <si>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</si>
  <si>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</si>
  <si>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</si>
  <si>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</si>
  <si>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</si>
  <si>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</si>
  <si>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</si>
  <si>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</si>
  <si>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</si>
  <si>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</si>
  <si>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</si>
  <si>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</si>
  <si>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</si>
  <si>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</si>
  <si>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</si>
  <si>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</si>
  <si>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</si>
  <si>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</si>
  <si>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</si>
  <si>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</si>
  <si>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2019-20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</si>
  <si>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</si>
  <si>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</si>
  <si>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</si>
  <si>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</si>
  <si>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</si>
  <si>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</si>
  <si>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INDIAN AIRLINES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</si>
  <si>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</si>
  <si>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</si>
  <si>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</si>
  <si>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</si>
  <si>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</si>
  <si>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TABLE - 2.07 (ALL SCHEDULED INDIAN AIRLINES)</t>
  </si>
  <si>
    <t xml:space="preserve"> तालिका - 2.07(सभी अनुसूचित भारतीय एयरलाइन्स)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</si>
</sst>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8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3" fontId="5" fillId="7" borderId="1" xfId="5" applyNumberFormat="1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center" vertical="center" wrapText="1"/>
    </xf>
    <xf numFmtId="0" fontId="5" fillId="7" borderId="1" xfId="5" applyFont="1" applyBorder="1" applyAlignment="1" applyProtection="1">
      <alignment horizontal="left" vertical="center"/>
    </xf>
    <xf numFmtId="164" fontId="3" fillId="4" borderId="4" xfId="2" applyNumberFormat="1" applyBorder="1" applyAlignment="1" applyProtection="1">
      <alignment horizontal="left" vertical="center" wrapText="1"/>
    </xf>
    <xf numFmtId="0" fontId="3" fillId="4" borderId="4" xfId="2" applyBorder="1" applyAlignment="1" applyProtection="1">
      <alignment horizontal="center" vertical="center" wrapText="1"/>
    </xf>
    <xf numFmtId="164" fontId="3" fillId="4" borderId="4" xfId="2" applyNumberFormat="1" applyBorder="1" applyAlignment="1" applyProtection="1">
      <alignment horizontal="center" vertical="center" wrapText="1"/>
    </xf>
    <xf numFmtId="0" fontId="5" fillId="7" borderId="5" xfId="5" applyFont="1" applyBorder="1" applyAlignment="1" applyProtection="1">
      <alignment horizontal="center" vertical="center" wrapText="1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Annual%20reports%20upload%202022-23/Annual%20tables%20pdf%20and%20excel%2022_23/2023_24/ALL%20SCHEDULED%20INDIAN%20AIRLINES/1.01%20ALL%20SCHEDULED%20INDIAN%20AIR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</sheetNames>
    <sheetDataSet>
      <sheetData sheetId="0">
        <row r="18">
          <cell r="B18">
            <v>1007721</v>
          </cell>
          <cell r="C18">
            <v>1734203.8892333333</v>
          </cell>
          <cell r="D18">
            <v>928833.01707466668</v>
          </cell>
          <cell r="E18">
            <v>136028656</v>
          </cell>
          <cell r="F18">
            <v>132092.12546299997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Normal="100" zoomScaleSheetLayoutView="100" workbookViewId="0">
      <selection activeCell="A7" sqref="A7"/>
    </sheetView>
  </sheetViews>
  <sheetFormatPr defaultRowHeight="15" x14ac:dyDescent="0.25"/>
  <cols>
    <col min="1" max="1" width="65" customWidth="1"/>
    <col min="2" max="2" width="8.42578125" customWidth="1"/>
    <col min="3" max="3" width="8.28515625" customWidth="1"/>
    <col min="4" max="4" width="8.140625" customWidth="1"/>
    <col min="5" max="6" width="7.85546875" customWidth="1"/>
    <col min="7" max="8" width="7.42578125" customWidth="1"/>
    <col min="9" max="9" width="8.85546875" customWidth="1"/>
    <col min="10" max="11" width="9.140625" customWidth="1"/>
  </cols>
  <sheetData>
    <row r="1" spans="1:12" ht="17.25" customHeight="1" x14ac:dyDescent="0.25">
      <c r="A1" s="17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2.75" customHeight="1" x14ac:dyDescent="0.25">
      <c r="A2" s="16" t="s">
        <v>36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3.5" customHeight="1" x14ac:dyDescent="0.25">
      <c r="A3" s="27" t="s">
        <v>30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5" customHeight="1" x14ac:dyDescent="0.25">
      <c r="A4" s="11" t="s">
        <v>0</v>
      </c>
      <c r="B4" s="9" t="s">
        <v>1</v>
      </c>
      <c r="C4" s="10" t="s">
        <v>5</v>
      </c>
      <c r="D4" s="10" t="s">
        <v>4</v>
      </c>
      <c r="E4" s="10" t="s">
        <v>3</v>
      </c>
      <c r="F4" s="10" t="s">
        <v>2</v>
      </c>
      <c r="G4" s="10" t="s">
        <v>22</v>
      </c>
      <c r="H4" s="10" t="s">
        <v>23</v>
      </c>
      <c r="I4" s="10" t="s">
        <v>31</v>
      </c>
      <c r="J4" s="10" t="s">
        <v>34</v>
      </c>
      <c r="K4" s="10" t="s">
        <v>33</v>
      </c>
      <c r="L4" s="15" t="s">
        <v>35</v>
      </c>
    </row>
    <row r="5" spans="1:12" ht="12" customHeight="1" x14ac:dyDescent="0.25">
      <c r="A5" s="2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20.100000000000001" customHeight="1" x14ac:dyDescent="0.25">
      <c r="A6" s="1" t="s">
        <v>7</v>
      </c>
      <c r="B6" s="2" t="s">
        <v>8</v>
      </c>
      <c r="C6" s="3">
        <v>78.636428645820416</v>
      </c>
      <c r="D6" s="3">
        <v>79.320645499197511</v>
      </c>
      <c r="E6" s="3">
        <v>78.29865349666261</v>
      </c>
      <c r="F6" s="3">
        <v>81.014379472829788</v>
      </c>
      <c r="G6" s="3">
        <v>80.969913126320108</v>
      </c>
      <c r="H6" s="3">
        <v>80.989334997738226</v>
      </c>
      <c r="I6" s="3">
        <v>68.901751814343655</v>
      </c>
      <c r="J6" s="3">
        <v>69.679244379714987</v>
      </c>
      <c r="K6" s="3">
        <v>81.33499750969446</v>
      </c>
      <c r="L6" s="3">
        <v>83.938762082550724</v>
      </c>
    </row>
    <row r="7" spans="1:12" ht="20.100000000000001" customHeight="1" x14ac:dyDescent="0.25">
      <c r="A7" s="1" t="s">
        <v>9</v>
      </c>
      <c r="B7" s="2" t="s">
        <v>8</v>
      </c>
      <c r="C7" s="3">
        <v>67.728613712674118</v>
      </c>
      <c r="D7" s="3">
        <v>66.917308711275311</v>
      </c>
      <c r="E7" s="3">
        <v>67.190526849202769</v>
      </c>
      <c r="F7" s="3">
        <v>69.926850895375466</v>
      </c>
      <c r="G7" s="3">
        <v>69.771290199486216</v>
      </c>
      <c r="H7" s="3">
        <v>70.937485949380729</v>
      </c>
      <c r="I7" s="3">
        <v>54.912851526547634</v>
      </c>
      <c r="J7" s="3">
        <v>62.865265775448542</v>
      </c>
      <c r="K7" s="3">
        <v>70.104642250923334</v>
      </c>
      <c r="L7" s="3">
        <v>82.828119348963284</v>
      </c>
    </row>
    <row r="8" spans="1:12" ht="20.100000000000001" customHeight="1" x14ac:dyDescent="0.25">
      <c r="A8" s="1" t="s">
        <v>10</v>
      </c>
      <c r="B8" s="2" t="s">
        <v>11</v>
      </c>
      <c r="C8" s="3">
        <v>758.1549510405323</v>
      </c>
      <c r="D8" s="3">
        <v>860.30753261649056</v>
      </c>
      <c r="E8" s="3">
        <v>840.3084304916938</v>
      </c>
      <c r="F8" s="3">
        <v>831.43040876364182</v>
      </c>
      <c r="G8" s="3">
        <v>807.93058209431024</v>
      </c>
      <c r="H8" s="3">
        <v>817.35846347714948</v>
      </c>
      <c r="I8" s="3">
        <v>774.6485861890169</v>
      </c>
      <c r="J8" s="3">
        <v>746.6331249675593</v>
      </c>
      <c r="K8" s="3">
        <v>718.16994942601445</v>
      </c>
      <c r="L8" s="3">
        <v>650.60396647247148</v>
      </c>
    </row>
    <row r="9" spans="1:12" ht="20.100000000000001" customHeight="1" x14ac:dyDescent="0.25">
      <c r="A9" s="1" t="s">
        <v>12</v>
      </c>
      <c r="B9" s="2" t="s">
        <v>13</v>
      </c>
      <c r="C9" s="3">
        <v>3134.5642187818294</v>
      </c>
      <c r="D9" s="3">
        <v>3653.3050294400336</v>
      </c>
      <c r="E9" s="3">
        <v>3620.5927745346407</v>
      </c>
      <c r="F9" s="3">
        <v>3584.6317810435835</v>
      </c>
      <c r="G9" s="3">
        <v>3598.4673121558972</v>
      </c>
      <c r="H9" s="3">
        <v>3498.2024097856843</v>
      </c>
      <c r="I9" s="3">
        <v>3455.1674874625619</v>
      </c>
      <c r="J9" s="3">
        <v>3168.6306843960483</v>
      </c>
      <c r="K9" s="3">
        <v>3124.746482467966</v>
      </c>
      <c r="L9" s="3">
        <v>3214.191825665479</v>
      </c>
    </row>
    <row r="10" spans="1:12" ht="20.100000000000001" customHeight="1" x14ac:dyDescent="0.25">
      <c r="A10" s="1" t="s">
        <v>14</v>
      </c>
      <c r="B10" s="2" t="s">
        <v>15</v>
      </c>
      <c r="C10" s="3">
        <v>147.0788008419909</v>
      </c>
      <c r="D10" s="3">
        <v>150.43278060915426</v>
      </c>
      <c r="E10" s="3">
        <v>152.83796306494841</v>
      </c>
      <c r="F10" s="3">
        <v>157.86558612091147</v>
      </c>
      <c r="G10" s="3">
        <v>158.614678449601</v>
      </c>
      <c r="H10" s="3">
        <v>154.15874598877875</v>
      </c>
      <c r="I10" s="3">
        <v>114.96182769504523</v>
      </c>
      <c r="J10" s="3">
        <v>118.68871206040089</v>
      </c>
      <c r="K10" s="3">
        <v>156.25183566090337</v>
      </c>
      <c r="L10" s="3">
        <v>166.39016092936427</v>
      </c>
    </row>
    <row r="11" spans="1:12" ht="20.100000000000001" customHeight="1" x14ac:dyDescent="0.25">
      <c r="A11" s="1" t="s">
        <v>16</v>
      </c>
      <c r="B11" s="2" t="s">
        <v>17</v>
      </c>
      <c r="C11" s="3">
        <v>3.4556217879881137</v>
      </c>
      <c r="D11" s="3">
        <v>3.4802986407203602</v>
      </c>
      <c r="E11" s="3">
        <v>3.4324605916392428</v>
      </c>
      <c r="F11" s="3">
        <v>3.4601809981635214</v>
      </c>
      <c r="G11" s="3">
        <v>3.4926862445783673</v>
      </c>
      <c r="H11" s="3">
        <v>3.2919530765183675</v>
      </c>
      <c r="I11" s="3">
        <v>3.9174814860061802</v>
      </c>
      <c r="J11" s="3">
        <v>3.5749675032146953</v>
      </c>
      <c r="K11" s="3">
        <v>3.4793811613296559</v>
      </c>
      <c r="L11" s="3">
        <v>3.5575562140773194</v>
      </c>
    </row>
    <row r="12" spans="1:12" ht="14.25" customHeight="1" x14ac:dyDescent="0.25">
      <c r="A12" s="22" t="s">
        <v>18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8.75" customHeight="1" x14ac:dyDescent="0.25">
      <c r="A13" s="4" t="s">
        <v>7</v>
      </c>
      <c r="B13" s="5" t="s">
        <v>8</v>
      </c>
      <c r="C13" s="5">
        <v>79.031714766004498</v>
      </c>
      <c r="D13" s="5">
        <v>82.848163434420812</v>
      </c>
      <c r="E13" s="5">
        <v>84.348478172880377</v>
      </c>
      <c r="F13" s="5">
        <v>86.993208424325033</v>
      </c>
      <c r="G13" s="5">
        <v>86.029954057780316</v>
      </c>
      <c r="H13" s="5">
        <v>86.196616362815988</v>
      </c>
      <c r="I13" s="5">
        <v>68.429142340208003</v>
      </c>
      <c r="J13" s="5">
        <v>73.373453028400121</v>
      </c>
      <c r="K13" s="5">
        <v>83.418218519226173</v>
      </c>
      <c r="L13" s="5">
        <v>87.572698466312858</v>
      </c>
    </row>
    <row r="14" spans="1:12" ht="20.100000000000001" customHeight="1" x14ac:dyDescent="0.25">
      <c r="A14" s="4" t="s">
        <v>9</v>
      </c>
      <c r="B14" s="5" t="s">
        <v>8</v>
      </c>
      <c r="C14" s="5">
        <v>73.139035371739695</v>
      </c>
      <c r="D14" s="5">
        <v>73.653376505020276</v>
      </c>
      <c r="E14" s="5">
        <v>73.589872123249108</v>
      </c>
      <c r="F14" s="5">
        <v>75.228083651488149</v>
      </c>
      <c r="G14" s="5">
        <v>73.750069571346515</v>
      </c>
      <c r="H14" s="5">
        <v>67.589381213096274</v>
      </c>
      <c r="I14" s="5">
        <v>62.80286553442037</v>
      </c>
      <c r="J14" s="5">
        <v>63.161417634197235</v>
      </c>
      <c r="K14" s="5">
        <v>70.833916228338381</v>
      </c>
      <c r="L14" s="5">
        <v>72.637410728600301</v>
      </c>
    </row>
    <row r="15" spans="1:12" ht="20.100000000000001" customHeight="1" x14ac:dyDescent="0.25">
      <c r="A15" s="4" t="s">
        <v>10</v>
      </c>
      <c r="B15" s="5" t="s">
        <v>11</v>
      </c>
      <c r="C15" s="5">
        <v>521.85099334028132</v>
      </c>
      <c r="D15" s="5">
        <v>538.65607815659484</v>
      </c>
      <c r="E15" s="5">
        <v>530.69909768326067</v>
      </c>
      <c r="F15" s="5">
        <v>527.76408076936866</v>
      </c>
      <c r="G15" s="5">
        <v>523.48145725873019</v>
      </c>
      <c r="H15" s="5">
        <v>540.06474370266687</v>
      </c>
      <c r="I15" s="5">
        <v>545.34582491745061</v>
      </c>
      <c r="J15" s="5">
        <f>'[1]1.01'!$D$18/'[1]1.01'!$C$18*1000</f>
        <v>535.59620229273639</v>
      </c>
      <c r="K15" s="5">
        <v>535.59620229273617</v>
      </c>
      <c r="L15" s="5">
        <v>540.447325447396</v>
      </c>
    </row>
    <row r="16" spans="1:12" ht="20.100000000000001" customHeight="1" x14ac:dyDescent="0.25">
      <c r="A16" s="4" t="s">
        <v>12</v>
      </c>
      <c r="B16" s="5" t="s">
        <v>13</v>
      </c>
      <c r="C16" s="5">
        <v>856.80825876937047</v>
      </c>
      <c r="D16" s="5">
        <v>892.74829016417584</v>
      </c>
      <c r="E16" s="5">
        <v>890.34053819208737</v>
      </c>
      <c r="F16" s="5">
        <v>895.71778706093971</v>
      </c>
      <c r="G16" s="5">
        <v>912.15826950733822</v>
      </c>
      <c r="H16" s="5">
        <v>919.23830908123944</v>
      </c>
      <c r="I16" s="5">
        <v>952.24077983062909</v>
      </c>
      <c r="J16" s="5">
        <f>'[1]1.01'!$D$18/'[1]1.01'!$B$18*1000</f>
        <v>921.71644440739715</v>
      </c>
      <c r="K16" s="5">
        <v>921.71644440739692</v>
      </c>
      <c r="L16" s="5">
        <v>900.65712717524252</v>
      </c>
    </row>
    <row r="17" spans="1:12" ht="20.100000000000001" customHeight="1" x14ac:dyDescent="0.25">
      <c r="A17" s="4" t="s">
        <v>14</v>
      </c>
      <c r="B17" s="5" t="s">
        <v>15</v>
      </c>
      <c r="C17" s="5">
        <v>113.60299714711795</v>
      </c>
      <c r="D17" s="5">
        <v>121.72470178777318</v>
      </c>
      <c r="E17" s="5">
        <v>128.05401916084296</v>
      </c>
      <c r="F17" s="5">
        <v>133.69912364109075</v>
      </c>
      <c r="G17" s="5">
        <v>133.04017648492018</v>
      </c>
      <c r="H17" s="5">
        <v>133.86344154422116</v>
      </c>
      <c r="I17" s="5">
        <v>108.71661780954284</v>
      </c>
      <c r="J17" s="5">
        <f>'[1]1.01'!$E$18/'[1]1.01'!$B$18</f>
        <v>134.98642580634919</v>
      </c>
      <c r="K17" s="5">
        <v>134.98642580634919</v>
      </c>
      <c r="L17" s="5">
        <v>144.55336468817609</v>
      </c>
    </row>
    <row r="18" spans="1:12" ht="20.100000000000001" customHeight="1" x14ac:dyDescent="0.25">
      <c r="A18" s="4" t="s">
        <v>19</v>
      </c>
      <c r="B18" s="6" t="s">
        <v>17</v>
      </c>
      <c r="C18" s="5">
        <v>0.95632736719889444</v>
      </c>
      <c r="D18" s="5">
        <v>0.9503297165914445</v>
      </c>
      <c r="E18" s="5">
        <v>0.95077139139750144</v>
      </c>
      <c r="F18" s="5">
        <v>0.94912084901514249</v>
      </c>
      <c r="G18" s="5">
        <v>0.96114589921505023</v>
      </c>
      <c r="H18" s="5">
        <v>0.9679926470924114</v>
      </c>
      <c r="I18" s="5">
        <v>0.9924922670894788</v>
      </c>
      <c r="J18" s="5">
        <f>'[1]1.01'!$F$18/'[1]1.01'!$E$18*1000</f>
        <v>0.97106102013534534</v>
      </c>
      <c r="K18" s="5">
        <v>0.97106102013534579</v>
      </c>
      <c r="L18" s="5">
        <v>0.96471077673419192</v>
      </c>
    </row>
    <row r="19" spans="1:12" ht="12.75" customHeight="1" x14ac:dyDescent="0.25">
      <c r="A19" s="24" t="s">
        <v>20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20.100000000000001" customHeight="1" x14ac:dyDescent="0.25">
      <c r="A20" s="7" t="s">
        <v>7</v>
      </c>
      <c r="B20" s="8" t="s">
        <v>8</v>
      </c>
      <c r="C20" s="8">
        <v>78.844703040143358</v>
      </c>
      <c r="D20" s="8">
        <v>81.241736944346826</v>
      </c>
      <c r="E20" s="8">
        <v>81.696964697071337</v>
      </c>
      <c r="F20" s="8">
        <v>84.419807805773544</v>
      </c>
      <c r="G20" s="8">
        <v>83.924554706409111</v>
      </c>
      <c r="H20" s="8">
        <v>84.279962148537351</v>
      </c>
      <c r="I20" s="8">
        <v>68.563910611695547</v>
      </c>
      <c r="J20" s="8">
        <v>72.002502024046436</v>
      </c>
      <c r="K20" s="8">
        <v>82.601376849232167</v>
      </c>
      <c r="L20" s="8">
        <v>86.026231622971963</v>
      </c>
    </row>
    <row r="21" spans="1:12" ht="20.100000000000001" customHeight="1" x14ac:dyDescent="0.25">
      <c r="A21" s="7" t="s">
        <v>9</v>
      </c>
      <c r="B21" s="8" t="s">
        <v>8</v>
      </c>
      <c r="C21" s="8">
        <v>70.302598704222433</v>
      </c>
      <c r="D21" s="8">
        <v>70.279480144420347</v>
      </c>
      <c r="E21" s="8">
        <v>70.505994059895073</v>
      </c>
      <c r="F21" s="8">
        <v>72.702631539072684</v>
      </c>
      <c r="G21" s="8">
        <v>71.938607004739197</v>
      </c>
      <c r="H21" s="8">
        <v>68.833960168502841</v>
      </c>
      <c r="I21" s="8">
        <v>60.141872801454667</v>
      </c>
      <c r="J21" s="8">
        <v>62.770156972370003</v>
      </c>
      <c r="K21" s="8">
        <v>70.529651275648703</v>
      </c>
      <c r="L21" s="8">
        <v>76.815849129835769</v>
      </c>
    </row>
    <row r="22" spans="1:12" ht="20.100000000000001" customHeight="1" x14ac:dyDescent="0.25">
      <c r="A22" s="7" t="s">
        <v>10</v>
      </c>
      <c r="B22" s="8" t="s">
        <v>11</v>
      </c>
      <c r="C22" s="8">
        <v>598.58747300783307</v>
      </c>
      <c r="D22" s="8">
        <v>638.97298958126737</v>
      </c>
      <c r="E22" s="8">
        <v>624.0541949829227</v>
      </c>
      <c r="F22" s="8">
        <v>616.87094498918668</v>
      </c>
      <c r="G22" s="8">
        <v>604.12419328204805</v>
      </c>
      <c r="H22" s="8">
        <v>612.16398551137434</v>
      </c>
      <c r="I22" s="8">
        <v>590.59080770256378</v>
      </c>
      <c r="J22" s="8">
        <v>600.77746968227279</v>
      </c>
      <c r="K22" s="8">
        <v>586.19324128983305</v>
      </c>
      <c r="L22" s="8">
        <v>576.96577310712519</v>
      </c>
    </row>
    <row r="23" spans="1:12" ht="20.100000000000001" customHeight="1" x14ac:dyDescent="0.25">
      <c r="A23" s="7" t="s">
        <v>12</v>
      </c>
      <c r="B23" s="8" t="s">
        <v>13</v>
      </c>
      <c r="C23" s="8">
        <v>1222.049782506914</v>
      </c>
      <c r="D23" s="8">
        <v>1307.6736426410532</v>
      </c>
      <c r="E23" s="8">
        <v>1283.2268985258549</v>
      </c>
      <c r="F23" s="8">
        <v>1273.5444220488346</v>
      </c>
      <c r="G23" s="8">
        <v>1272.2571643893643</v>
      </c>
      <c r="H23" s="8">
        <v>1235.4334290172696</v>
      </c>
      <c r="I23" s="8">
        <v>1171.961843380587</v>
      </c>
      <c r="J23" s="8">
        <v>1176.8361401615832</v>
      </c>
      <c r="K23" s="8">
        <v>1211.7882893501542</v>
      </c>
      <c r="L23" s="8">
        <v>1232.2146357847521</v>
      </c>
    </row>
    <row r="24" spans="1:12" ht="26.25" customHeight="1" x14ac:dyDescent="0.25">
      <c r="A24" s="7" t="s">
        <v>14</v>
      </c>
      <c r="B24" s="8" t="s">
        <v>15</v>
      </c>
      <c r="C24" s="8">
        <v>118.9708915855491</v>
      </c>
      <c r="D24" s="8">
        <v>126.03966824161256</v>
      </c>
      <c r="E24" s="8">
        <v>131.62045649787242</v>
      </c>
      <c r="F24" s="8">
        <v>137.09481915933529</v>
      </c>
      <c r="G24" s="8">
        <v>136.46843054967212</v>
      </c>
      <c r="H24" s="8">
        <v>136.3517569966279</v>
      </c>
      <c r="I24" s="8">
        <v>109.26485765769786</v>
      </c>
      <c r="J24" s="8">
        <v>114.1302128641255</v>
      </c>
      <c r="K24" s="8">
        <v>137.78643150913334</v>
      </c>
      <c r="L24" s="8">
        <v>147.68284174441675</v>
      </c>
    </row>
    <row r="25" spans="1:12" ht="20.100000000000001" customHeight="1" x14ac:dyDescent="0.25">
      <c r="A25" s="12" t="s">
        <v>19</v>
      </c>
      <c r="B25" s="13" t="s">
        <v>17</v>
      </c>
      <c r="C25" s="14">
        <v>1.451777259127808</v>
      </c>
      <c r="D25" s="14">
        <v>1.404191601240836</v>
      </c>
      <c r="E25" s="14">
        <v>1.3654574351213391</v>
      </c>
      <c r="F25" s="14">
        <v>1.3554137163615767</v>
      </c>
      <c r="G25" s="14">
        <v>1.3555685484881259</v>
      </c>
      <c r="H25" s="14">
        <v>1.2901336640722263</v>
      </c>
      <c r="I25" s="8">
        <v>1.2626522282047201</v>
      </c>
      <c r="J25" s="8">
        <v>1.2493394160926823</v>
      </c>
      <c r="K25" s="8">
        <v>1.3455911830179736</v>
      </c>
      <c r="L25" s="8">
        <v>1.3833665457536075</v>
      </c>
    </row>
    <row r="26" spans="1:12" ht="15.75" customHeight="1" x14ac:dyDescent="0.25">
      <c r="A26" s="26" t="s">
        <v>21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 ht="14.25" customHeight="1" x14ac:dyDescent="0.25">
      <c r="A27" s="19" t="s">
        <v>29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25">
      <c r="A28" s="19" t="s">
        <v>24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x14ac:dyDescent="0.25">
      <c r="A29" s="19" t="s">
        <v>25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x14ac:dyDescent="0.25">
      <c r="A30" s="19" t="s">
        <v>26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x14ac:dyDescent="0.25">
      <c r="A31" s="19" t="s">
        <v>27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x14ac:dyDescent="0.25">
      <c r="A32" s="19" t="s">
        <v>28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9.25" customHeight="1" x14ac:dyDescent="0.25">
      <c r="A33" s="18" t="s">
        <v>32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</sheetData>
  <mergeCells count="14">
    <mergeCell ref="A2:L2"/>
    <mergeCell ref="A1:L1"/>
    <mergeCell ref="A33:L33"/>
    <mergeCell ref="A32:L32"/>
    <mergeCell ref="A31:L31"/>
    <mergeCell ref="A30:L30"/>
    <mergeCell ref="A29:L29"/>
    <mergeCell ref="A28:L28"/>
    <mergeCell ref="A27:L27"/>
    <mergeCell ref="A5:L5"/>
    <mergeCell ref="A12:L12"/>
    <mergeCell ref="A19:L19"/>
    <mergeCell ref="A26:L26"/>
    <mergeCell ref="A3:L3"/>
  </mergeCells>
  <phoneticPr fontId="6" type="noConversion"/>
  <printOptions horizontalCentered="1"/>
  <pageMargins left="0.25" right="0.25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2023-11-13T05:26:02Z</cp:lastPrinted>
  <dcterms:created xsi:type="dcterms:W3CDTF">2018-10-29T04:00:17Z</dcterms:created>
  <dcterms:modified xsi:type="dcterms:W3CDTF">2025-01-28T07:41:15Z</dcterms:modified>
</cp:coreProperties>
</file>