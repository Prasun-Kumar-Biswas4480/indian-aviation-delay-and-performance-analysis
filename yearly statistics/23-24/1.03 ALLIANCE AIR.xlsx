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LLIANCE AIR (NATIONAL)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 l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<sst xmlns="http://schemas.openxmlformats.org/spreadsheetml/2006/main" count="26" uniqueCount="24">
  <si>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(एलाइंस एयर) </t>
  </si>
  <si>
    <t>Table 1.03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</si>
  <si>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</si>
  <si>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</si>
  <si>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</si>
  <si>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</si>
  <si>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</si>
  <si>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</si>
  <si>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</si>
  <si>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</si>
  <si>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</si>
  <si>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</si>
  <si>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</si>
  <si>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</si>
  <si>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</si>
  <si>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</si>
  <si>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</si>
  <si>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</si>
  <si>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</si>
  <si>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</si>
  <si>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</si>
  <si>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</si>
  <si>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2023-24</t>
  </si>
  <si>
    <t>MONTHLY TRAFFIC AND OPERATING STATISTICS OF ALLIANCE AIR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</si>
</sst>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#,##0.0"/>
    <numFmt numFmtId="166" formatCode="_(* #,##0_);_(* \(#,##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43" fontId="1" fillId="3" borderId="1" xfId="3" applyNumberFormat="1" applyBorder="1" applyAlignment="1">
      <alignment horizontal="center" vertical="center"/>
    </xf>
    <xf numFmtId="43" fontId="0" fillId="0" borderId="1" xfId="1" applyNumberFormat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right" vertical="center" wrapText="1"/>
    </xf>
    <xf numFmtId="4" fontId="2" fillId="3" borderId="1" xfId="3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4" fontId="1" fillId="5" borderId="1" xfId="3" applyNumberFormat="1" applyFill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8" zoomScaleSheetLayoutView="100" workbookViewId="0">
      <selection activeCell="C18" sqref="C18"/>
    </sheetView>
  </sheetViews>
  <sheetFormatPr defaultRowHeight="18.600000000000001" customHeight="1" x14ac:dyDescent="0.25"/>
  <cols>
    <col min="1" max="1" width="15.28515625" customWidth="1"/>
    <col min="2" max="3" width="8.42578125" customWidth="1"/>
    <col min="4" max="4" width="12" customWidth="1"/>
    <col min="5" max="5" width="11.7109375" customWidth="1"/>
    <col min="6" max="17" width="8.140625" customWidth="1"/>
  </cols>
  <sheetData>
    <row r="1" spans="1:17" ht="18.60000000000000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2</v>
      </c>
      <c r="B4" s="23" t="s">
        <v>3</v>
      </c>
      <c r="C4" s="23"/>
      <c r="D4" s="23"/>
      <c r="E4" s="23" t="s">
        <v>4</v>
      </c>
      <c r="F4" s="24"/>
      <c r="G4" s="17" t="s">
        <v>5</v>
      </c>
      <c r="H4" s="17" t="s">
        <v>6</v>
      </c>
      <c r="I4" s="23" t="s">
        <v>7</v>
      </c>
      <c r="J4" s="23"/>
      <c r="K4" s="23"/>
      <c r="L4" s="23" t="s">
        <v>8</v>
      </c>
      <c r="M4" s="23"/>
      <c r="N4" s="23"/>
      <c r="O4" s="23"/>
      <c r="P4" s="17" t="s">
        <v>9</v>
      </c>
      <c r="Q4" s="17" t="s">
        <v>10</v>
      </c>
    </row>
    <row r="5" spans="1:17" ht="100.9" customHeight="1" x14ac:dyDescent="0.25">
      <c r="A5" s="23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8"/>
      <c r="H5" s="18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8"/>
      <c r="Q5" s="18"/>
    </row>
    <row r="6" spans="1:17" ht="18.600000000000001" customHeight="1" x14ac:dyDescent="0.25">
      <c r="A6" s="15">
        <v>45017</v>
      </c>
      <c r="B6" s="8">
        <v>3424</v>
      </c>
      <c r="C6" s="8">
        <v>4550</v>
      </c>
      <c r="D6" s="8">
        <v>1277.71</v>
      </c>
      <c r="E6" s="8">
        <v>143453</v>
      </c>
      <c r="F6" s="1">
        <v>56.820234999999997</v>
      </c>
      <c r="G6" s="1">
        <v>81.794284999999988</v>
      </c>
      <c r="H6" s="1">
        <f t="shared" ref="H6:H17" si="0">F6/G6*100</f>
        <v>69.467243341023149</v>
      </c>
      <c r="I6" s="1">
        <v>19.82</v>
      </c>
      <c r="J6" s="1">
        <v>17.646000000000001</v>
      </c>
      <c r="K6" s="1">
        <v>37.466000000000001</v>
      </c>
      <c r="L6" s="1">
        <v>5.1738362000000002</v>
      </c>
      <c r="M6" s="6">
        <v>1.9820999999999995E-2</v>
      </c>
      <c r="N6" s="1">
        <v>1.7646000000000002E-2</v>
      </c>
      <c r="O6" s="1">
        <v>5.2113031999999997</v>
      </c>
      <c r="P6" s="1">
        <v>8.3872540000000004</v>
      </c>
      <c r="Q6" s="1">
        <f t="shared" ref="Q6:Q18" si="1">O6/P6*100</f>
        <v>62.133604156974378</v>
      </c>
    </row>
    <row r="7" spans="1:17" ht="18.600000000000001" customHeight="1" x14ac:dyDescent="0.25">
      <c r="A7" s="16">
        <v>45047</v>
      </c>
      <c r="B7" s="9">
        <v>3744</v>
      </c>
      <c r="C7" s="9">
        <v>5070</v>
      </c>
      <c r="D7" s="9">
        <v>1419.4839999999999</v>
      </c>
      <c r="E7" s="9">
        <v>186953</v>
      </c>
      <c r="F7" s="2">
        <v>74.76427000000001</v>
      </c>
      <c r="G7" s="2">
        <v>93.14255900000002</v>
      </c>
      <c r="H7" s="2">
        <f t="shared" si="0"/>
        <v>80.26864497034056</v>
      </c>
      <c r="I7" s="2">
        <v>10.577999999999999</v>
      </c>
      <c r="J7" s="2">
        <v>13.692999999999998</v>
      </c>
      <c r="K7" s="2">
        <v>24.270999999999997</v>
      </c>
      <c r="L7" s="2">
        <v>6.8070655600000025</v>
      </c>
      <c r="M7" s="7">
        <v>4.6512835295727702E-3</v>
      </c>
      <c r="N7" s="2">
        <v>6.2080616712158936E-3</v>
      </c>
      <c r="O7" s="2">
        <v>6.8179249052007913</v>
      </c>
      <c r="P7" s="2">
        <v>9.2883924000000011</v>
      </c>
      <c r="Q7" s="2">
        <f t="shared" si="1"/>
        <v>73.402636447624573</v>
      </c>
    </row>
    <row r="8" spans="1:17" ht="18.600000000000001" customHeight="1" x14ac:dyDescent="0.25">
      <c r="A8" s="15">
        <v>45078</v>
      </c>
      <c r="B8" s="8">
        <v>3199</v>
      </c>
      <c r="C8" s="8">
        <v>4343</v>
      </c>
      <c r="D8" s="8">
        <v>1237.9560000000001</v>
      </c>
      <c r="E8" s="8">
        <v>146027</v>
      </c>
      <c r="F8" s="1">
        <v>59.293613000000008</v>
      </c>
      <c r="G8" s="1">
        <v>80.581443999999991</v>
      </c>
      <c r="H8" s="1">
        <f t="shared" si="0"/>
        <v>73.582217017605217</v>
      </c>
      <c r="I8" s="1">
        <v>11.874000000000002</v>
      </c>
      <c r="J8" s="1">
        <v>9.4669999999999987</v>
      </c>
      <c r="K8" s="1">
        <v>21.341000000000001</v>
      </c>
      <c r="L8" s="1">
        <v>5.3992481629999984</v>
      </c>
      <c r="M8" s="6">
        <v>5.138511917792252E-3</v>
      </c>
      <c r="N8" s="1">
        <v>4.4827771346996692E-3</v>
      </c>
      <c r="O8" s="1">
        <v>5.4088694520524907</v>
      </c>
      <c r="P8" s="1">
        <v>8.0680056000000011</v>
      </c>
      <c r="Q8" s="1">
        <f t="shared" si="1"/>
        <v>67.040972951884044</v>
      </c>
    </row>
    <row r="9" spans="1:17" ht="18.600000000000001" customHeight="1" x14ac:dyDescent="0.25">
      <c r="A9" s="16">
        <v>45108</v>
      </c>
      <c r="B9" s="9">
        <v>3004</v>
      </c>
      <c r="C9" s="9">
        <v>4090</v>
      </c>
      <c r="D9" s="9">
        <v>1161.856</v>
      </c>
      <c r="E9" s="9">
        <v>126419</v>
      </c>
      <c r="F9" s="2">
        <v>51.590118000000004</v>
      </c>
      <c r="G9" s="2">
        <v>75.351021000000017</v>
      </c>
      <c r="H9" s="2">
        <f t="shared" si="0"/>
        <v>68.466382160899968</v>
      </c>
      <c r="I9" s="2">
        <v>12.536999999999999</v>
      </c>
      <c r="J9" s="2">
        <v>3.9580000000000002</v>
      </c>
      <c r="K9" s="2">
        <v>16.494999999999997</v>
      </c>
      <c r="L9" s="2">
        <v>4.6995027480000022</v>
      </c>
      <c r="M9" s="7">
        <v>5.6021394391029258E-3</v>
      </c>
      <c r="N9" s="2">
        <v>9.018050000000001E-4</v>
      </c>
      <c r="O9" s="2">
        <v>4.7060066924391046</v>
      </c>
      <c r="P9" s="2">
        <v>7.5569356000000001</v>
      </c>
      <c r="Q9" s="2">
        <f t="shared" si="1"/>
        <v>62.274008163297104</v>
      </c>
    </row>
    <row r="10" spans="1:17" ht="18.600000000000001" customHeight="1" x14ac:dyDescent="0.25">
      <c r="A10" s="15">
        <v>45139</v>
      </c>
      <c r="B10" s="8">
        <v>2968</v>
      </c>
      <c r="C10" s="8">
        <v>3986</v>
      </c>
      <c r="D10" s="8">
        <v>1132.729</v>
      </c>
      <c r="E10" s="8">
        <v>128089</v>
      </c>
      <c r="F10" s="1">
        <v>51.823316000000005</v>
      </c>
      <c r="G10" s="1">
        <v>73.805777000000006</v>
      </c>
      <c r="H10" s="1">
        <f t="shared" si="0"/>
        <v>70.215798961103005</v>
      </c>
      <c r="I10" s="1">
        <v>30.451000000000001</v>
      </c>
      <c r="J10" s="1">
        <v>5.992</v>
      </c>
      <c r="K10" s="1">
        <v>36.442999999999998</v>
      </c>
      <c r="L10" s="1">
        <v>4.7222282660000001</v>
      </c>
      <c r="M10" s="6">
        <v>1.2898173898163069E-2</v>
      </c>
      <c r="N10" s="1">
        <v>2.5649739562530641E-3</v>
      </c>
      <c r="O10" s="1">
        <v>4.7376914138544164</v>
      </c>
      <c r="P10" s="1">
        <v>7.3775691999999999</v>
      </c>
      <c r="Q10" s="1">
        <f t="shared" si="1"/>
        <v>64.217512373240993</v>
      </c>
    </row>
    <row r="11" spans="1:17" ht="18.600000000000001" customHeight="1" x14ac:dyDescent="0.25">
      <c r="A11" s="16">
        <v>45170</v>
      </c>
      <c r="B11" s="9">
        <v>2940</v>
      </c>
      <c r="C11" s="9">
        <v>3919</v>
      </c>
      <c r="D11" s="9">
        <v>1093.5540000000001</v>
      </c>
      <c r="E11" s="9">
        <v>122767</v>
      </c>
      <c r="F11" s="2">
        <v>49.351312999999998</v>
      </c>
      <c r="G11" s="2">
        <v>71.804718999999992</v>
      </c>
      <c r="H11" s="2">
        <f t="shared" si="0"/>
        <v>68.72990199989502</v>
      </c>
      <c r="I11" s="2">
        <v>24.978000000000005</v>
      </c>
      <c r="J11" s="2">
        <v>3.734</v>
      </c>
      <c r="K11" s="2">
        <v>28.712000000000003</v>
      </c>
      <c r="L11" s="2">
        <v>4.4965184329999976</v>
      </c>
      <c r="M11" s="7">
        <v>1.1110028417417444E-2</v>
      </c>
      <c r="N11" s="2">
        <v>1.589193E-3</v>
      </c>
      <c r="O11" s="2">
        <v>4.509217654417415</v>
      </c>
      <c r="P11" s="2">
        <v>7.1587911999999996</v>
      </c>
      <c r="Q11" s="2">
        <f t="shared" si="1"/>
        <v>62.988534355037693</v>
      </c>
    </row>
    <row r="12" spans="1:17" ht="18.600000000000001" customHeight="1" x14ac:dyDescent="0.25">
      <c r="A12" s="15">
        <v>45200</v>
      </c>
      <c r="B12" s="8">
        <v>3035</v>
      </c>
      <c r="C12" s="8">
        <v>4091</v>
      </c>
      <c r="D12" s="8">
        <v>1149.9760000000001</v>
      </c>
      <c r="E12" s="8">
        <v>132617</v>
      </c>
      <c r="F12" s="1">
        <v>54.149224000000004</v>
      </c>
      <c r="G12" s="1">
        <v>75.622049000000004</v>
      </c>
      <c r="H12" s="1">
        <f t="shared" si="0"/>
        <v>71.605073805921336</v>
      </c>
      <c r="I12" s="1">
        <v>24.302999999999994</v>
      </c>
      <c r="J12" s="1">
        <v>7.4010000000000007</v>
      </c>
      <c r="K12" s="1">
        <v>31.703999999999994</v>
      </c>
      <c r="L12" s="1">
        <v>4.9326380439999964</v>
      </c>
      <c r="M12" s="6">
        <v>1.1150503024006062E-2</v>
      </c>
      <c r="N12" s="1">
        <v>3.5779689999999994E-3</v>
      </c>
      <c r="O12" s="1">
        <v>4.9473665160240028</v>
      </c>
      <c r="P12" s="1">
        <v>7.5098048000000031</v>
      </c>
      <c r="Q12" s="1">
        <f t="shared" si="1"/>
        <v>65.878763134083073</v>
      </c>
    </row>
    <row r="13" spans="1:17" ht="18.600000000000001" customHeight="1" x14ac:dyDescent="0.25">
      <c r="A13" s="16">
        <v>45231</v>
      </c>
      <c r="B13" s="9">
        <v>2813</v>
      </c>
      <c r="C13" s="9">
        <v>3771</v>
      </c>
      <c r="D13" s="9">
        <v>1051.01</v>
      </c>
      <c r="E13" s="9">
        <v>125669</v>
      </c>
      <c r="F13" s="2">
        <v>50.737899000000006</v>
      </c>
      <c r="G13" s="2">
        <v>69.849796999999995</v>
      </c>
      <c r="H13" s="2">
        <f t="shared" si="0"/>
        <v>72.638577603883377</v>
      </c>
      <c r="I13" s="2">
        <v>14.195</v>
      </c>
      <c r="J13" s="2">
        <v>4.4770000000000003</v>
      </c>
      <c r="K13" s="2">
        <v>18.672000000000001</v>
      </c>
      <c r="L13" s="2">
        <v>4.6208250990000028</v>
      </c>
      <c r="M13" s="7">
        <v>6.7395836595930524E-3</v>
      </c>
      <c r="N13" s="2">
        <v>1.8731376666666669E-3</v>
      </c>
      <c r="O13" s="2">
        <v>4.6294378203262623</v>
      </c>
      <c r="P13" s="2">
        <v>6.9383560000000006</v>
      </c>
      <c r="Q13" s="2">
        <f t="shared" si="1"/>
        <v>66.722402545015882</v>
      </c>
    </row>
    <row r="14" spans="1:17" ht="18.600000000000001" customHeight="1" x14ac:dyDescent="0.25">
      <c r="A14" s="15">
        <v>45261</v>
      </c>
      <c r="B14" s="8">
        <v>2856</v>
      </c>
      <c r="C14" s="8">
        <v>3843</v>
      </c>
      <c r="D14" s="8">
        <v>1075.1329999999998</v>
      </c>
      <c r="E14" s="8">
        <v>133498</v>
      </c>
      <c r="F14" s="1">
        <v>54.509886999999999</v>
      </c>
      <c r="G14" s="1">
        <v>70.859921666666665</v>
      </c>
      <c r="H14" s="1">
        <f t="shared" si="0"/>
        <v>76.926259185581472</v>
      </c>
      <c r="I14" s="1">
        <v>10.563000000000001</v>
      </c>
      <c r="J14" s="1">
        <v>4.301000000000001</v>
      </c>
      <c r="K14" s="1">
        <v>14.864000000000001</v>
      </c>
      <c r="L14" s="1">
        <v>4.9649504000000002</v>
      </c>
      <c r="M14" s="6">
        <v>5.0684771694411357E-3</v>
      </c>
      <c r="N14" s="1">
        <v>1.8425189999999999E-3</v>
      </c>
      <c r="O14" s="1">
        <v>4.9718613961694418</v>
      </c>
      <c r="P14" s="1">
        <v>7.0164743999999946</v>
      </c>
      <c r="Q14" s="1">
        <f t="shared" si="1"/>
        <v>70.859823790840679</v>
      </c>
    </row>
    <row r="15" spans="1:17" ht="18.600000000000001" customHeight="1" x14ac:dyDescent="0.25">
      <c r="A15" s="16">
        <v>45292</v>
      </c>
      <c r="B15" s="9">
        <v>2774</v>
      </c>
      <c r="C15" s="9">
        <v>3724</v>
      </c>
      <c r="D15" s="9">
        <v>1038.2070000000001</v>
      </c>
      <c r="E15" s="9">
        <v>136030</v>
      </c>
      <c r="F15" s="2">
        <v>54.327078999999998</v>
      </c>
      <c r="G15" s="2">
        <v>67.700818999999996</v>
      </c>
      <c r="H15" s="2">
        <f t="shared" si="0"/>
        <v>80.245822432369678</v>
      </c>
      <c r="I15" s="2">
        <v>10.971000000000002</v>
      </c>
      <c r="J15" s="14">
        <v>2.516</v>
      </c>
      <c r="K15" s="2">
        <v>13.487000000000002</v>
      </c>
      <c r="L15" s="2">
        <v>4.9497467890000015</v>
      </c>
      <c r="M15" s="7">
        <v>5.4699901810589526E-3</v>
      </c>
      <c r="N15" s="2">
        <v>1.0866809999999999E-3</v>
      </c>
      <c r="O15" s="2">
        <v>4.9563034601810596</v>
      </c>
      <c r="P15" s="2">
        <v>6.871997599999994</v>
      </c>
      <c r="Q15" s="2">
        <f t="shared" si="1"/>
        <v>72.123183805842189</v>
      </c>
    </row>
    <row r="16" spans="1:17" ht="18.600000000000001" customHeight="1" x14ac:dyDescent="0.25">
      <c r="A16" s="15">
        <v>45323</v>
      </c>
      <c r="B16" s="8">
        <v>2722</v>
      </c>
      <c r="C16" s="8">
        <v>3635</v>
      </c>
      <c r="D16" s="8">
        <v>1014.5360000000001</v>
      </c>
      <c r="E16" s="8">
        <v>132158</v>
      </c>
      <c r="F16" s="1">
        <v>52.383710000000001</v>
      </c>
      <c r="G16" s="1">
        <v>66.260088999999994</v>
      </c>
      <c r="H16" s="1">
        <f t="shared" si="0"/>
        <v>79.057711498093525</v>
      </c>
      <c r="I16" s="1">
        <v>13.259</v>
      </c>
      <c r="J16" s="1">
        <v>0.252</v>
      </c>
      <c r="K16" s="1">
        <v>13.511000000000001</v>
      </c>
      <c r="L16" s="1">
        <v>4.7720134000000005</v>
      </c>
      <c r="M16" s="6">
        <v>6.3536259904761905E-3</v>
      </c>
      <c r="N16" s="1">
        <v>1.0256399999999999E-4</v>
      </c>
      <c r="O16" s="1">
        <v>4.7784695899904754</v>
      </c>
      <c r="P16" s="1">
        <v>6.7068528000000001</v>
      </c>
      <c r="Q16" s="1">
        <f t="shared" si="1"/>
        <v>71.247569202509936</v>
      </c>
    </row>
    <row r="17" spans="1:17" ht="18.600000000000001" customHeight="1" x14ac:dyDescent="0.25">
      <c r="A17" s="16">
        <v>45352</v>
      </c>
      <c r="B17" s="9">
        <v>3030</v>
      </c>
      <c r="C17" s="9">
        <v>4032</v>
      </c>
      <c r="D17" s="9">
        <v>1122.7840000000001</v>
      </c>
      <c r="E17" s="9">
        <v>143485</v>
      </c>
      <c r="F17" s="2">
        <v>56.957683000000003</v>
      </c>
      <c r="G17" s="2">
        <v>72.786622000000008</v>
      </c>
      <c r="H17" s="2">
        <f t="shared" si="0"/>
        <v>78.252955604946195</v>
      </c>
      <c r="I17" s="2">
        <v>13.108000000000001</v>
      </c>
      <c r="J17" s="14">
        <v>0.22999999999999998</v>
      </c>
      <c r="K17" s="2">
        <v>13.338000000000001</v>
      </c>
      <c r="L17" s="2">
        <v>5.1890450000000001</v>
      </c>
      <c r="M17" s="7">
        <v>6.3217560390011083E-3</v>
      </c>
      <c r="N17" s="2">
        <v>9.3609999999999993E-5</v>
      </c>
      <c r="O17" s="2">
        <v>5.1954603660390006</v>
      </c>
      <c r="P17" s="2">
        <v>7.3721551999999999</v>
      </c>
      <c r="Q17" s="2">
        <f t="shared" si="1"/>
        <v>70.474104588017909</v>
      </c>
    </row>
    <row r="18" spans="1:17" ht="18.600000000000001" customHeight="1" x14ac:dyDescent="0.25">
      <c r="A18" s="3" t="s">
        <v>22</v>
      </c>
      <c r="B18" s="4">
        <f>SUM(B6:B17)</f>
        <v>36509</v>
      </c>
      <c r="C18" s="4">
        <f t="shared" ref="C18:G18" si="2">SUM(C6:C17)</f>
        <v>49054</v>
      </c>
      <c r="D18" s="4">
        <f t="shared" si="2"/>
        <v>13774.935000000001</v>
      </c>
      <c r="E18" s="4">
        <f t="shared" si="2"/>
        <v>1657165</v>
      </c>
      <c r="F18" s="4">
        <f t="shared" si="2"/>
        <v>666.708347</v>
      </c>
      <c r="G18" s="4">
        <f t="shared" si="2"/>
        <v>899.5591026666666</v>
      </c>
      <c r="H18" s="5">
        <f>F18/G18*100</f>
        <v>74.115013124051515</v>
      </c>
      <c r="I18" s="5">
        <f t="shared" ref="I18" si="3">SUM(I6:I17)</f>
        <v>196.637</v>
      </c>
      <c r="J18" s="4">
        <f t="shared" ref="J18:P18" si="4">SUM(J6:J17)</f>
        <v>73.667000000000002</v>
      </c>
      <c r="K18" s="12">
        <f t="shared" si="4"/>
        <v>270.30400000000003</v>
      </c>
      <c r="L18" s="12">
        <f t="shared" si="4"/>
        <v>60.727618102000001</v>
      </c>
      <c r="M18" s="11">
        <f t="shared" si="4"/>
        <v>0.10032507326562495</v>
      </c>
      <c r="N18" s="10">
        <f t="shared" si="4"/>
        <v>4.1969291428835299E-2</v>
      </c>
      <c r="O18" s="12">
        <f t="shared" si="4"/>
        <v>60.869912466694458</v>
      </c>
      <c r="P18" s="12">
        <f t="shared" si="4"/>
        <v>90.252588799999998</v>
      </c>
      <c r="Q18" s="12">
        <f t="shared" si="1"/>
        <v>67.443951775812621</v>
      </c>
    </row>
    <row r="19" spans="1:17" ht="18.600000000000001" customHeight="1" x14ac:dyDescent="0.25">
      <c r="A19" s="19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2022-04-25T11:58:09Z</cp:lastPrinted>
  <dcterms:created xsi:type="dcterms:W3CDTF">2020-06-03T10:40:01Z</dcterms:created>
  <dcterms:modified xsi:type="dcterms:W3CDTF">2025-01-24T11:56:45Z</dcterms:modified>
</cp:coreProperties>
</file>