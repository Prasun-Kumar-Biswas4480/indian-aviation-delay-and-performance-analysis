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INDIGO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'C'!$A$1:$N$20</definedName>
    <definedName name="Print_Area_MI" localSheetId="3">'C'!$A$19:$N$26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20" i="3" l="1"/>
  <c r="K20" i="3"/>
  <c r="L20" i="3"/>
  <c r="M20" i="3"/>
  <c r="N20" i="3"/>
  <c r="I20" i="3" l="1"/>
  <c r="C20" i="3"/>
  <c r="D20" i="3"/>
  <c r="E20" i="3"/>
  <c r="B20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<sst xmlns="http://schemas.openxmlformats.org/spreadsheetml/2006/main" count="924" uniqueCount="222">
  <si>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</si>
  <si>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</si>
  <si>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</si>
  <si>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</si>
  <si>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</si>
  <si>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</si>
  <si>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</si>
  <si>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</si>
  <si>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</si>
  <si>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</si>
  <si>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</si>
  <si>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</si>
  <si>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</si>
  <si>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</si>
  <si>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</si>
  <si>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</si>
  <si>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</si>
  <si>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</si>
  <si>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</si>
  <si>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</si>
  <si>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</si>
  <si>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</si>
  <si>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</si>
  <si>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</si>
  <si>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</si>
  <si>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</si>
  <si>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</si>
  <si>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</si>
  <si>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</si>
  <si>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</si>
  <si>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</si>
  <si>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</si>
  <si>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</si>
  <si>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</si>
  <si>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</si>
  <si>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</si>
  <si>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</si>
  <si>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</si>
  <si>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</si>
  <si>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</si>
  <si>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</si>
  <si>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</si>
  <si>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</si>
  <si>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</si>
  <si>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</si>
  <si>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</si>
  <si>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</si>
  <si>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</si>
  <si>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</si>
  <si>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</si>
  <si>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</si>
  <si>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</si>
  <si>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</si>
  <si>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</si>
  <si>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</si>
  <si>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</si>
  <si>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</si>
  <si>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</si>
  <si>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</si>
  <si>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</si>
  <si>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</si>
  <si>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</si>
  <si>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</si>
  <si>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</si>
  <si>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</si>
  <si>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</si>
  <si>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</si>
  <si>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</si>
  <si>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</si>
  <si>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</si>
  <si>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</si>
  <si>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</si>
  <si>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</si>
  <si>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</si>
  <si>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</si>
  <si>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</si>
  <si>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</si>
  <si>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</si>
  <si>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</si>
  <si>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</si>
  <si>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</si>
  <si>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</si>
  <si>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</si>
  <si>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</si>
  <si>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</si>
  <si>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</si>
  <si>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</si>
  <si>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</si>
  <si>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</si>
  <si>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</si>
  <si>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</si>
  <si>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</si>
  <si>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</si>
  <si>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</si>
  <si>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</si>
  <si>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</si>
  <si>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</si>
  <si>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</si>
  <si>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</si>
  <si>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</si>
  <si>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</si>
  <si>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</si>
  <si>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</si>
  <si>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</si>
  <si>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</si>
  <si>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</si>
  <si>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</si>
  <si>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</si>
  <si>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</si>
  <si>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</si>
  <si>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</si>
  <si>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</si>
  <si>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</si>
  <si>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</si>
  <si>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</si>
  <si>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</si>
  <si>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</si>
  <si>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</si>
  <si>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</si>
  <si>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</si>
  <si>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</si>
  <si>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</si>
  <si>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</si>
  <si>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</si>
  <si>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</si>
  <si>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</si>
  <si>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</si>
  <si>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</si>
  <si>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</si>
  <si>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</si>
  <si>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</si>
  <si>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</si>
  <si>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</si>
  <si>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</si>
  <si>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</si>
  <si>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</si>
  <si>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</si>
  <si>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</si>
  <si>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</si>
  <si>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</si>
  <si>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</si>
  <si>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</si>
  <si>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</si>
  <si>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</si>
  <si>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</si>
  <si>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</si>
  <si>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</si>
  <si>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</si>
  <si>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</si>
  <si>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</si>
  <si>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</si>
  <si>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</si>
  <si>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</si>
  <si>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</si>
  <si>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</si>
  <si>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</si>
  <si>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</si>
  <si>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</si>
  <si>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</si>
  <si>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</si>
  <si>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</si>
  <si>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</si>
  <si>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</si>
  <si>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</si>
  <si>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</si>
  <si>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</si>
  <si>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</si>
  <si>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</si>
  <si>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</si>
  <si>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</si>
  <si>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</si>
  <si>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</si>
  <si>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</si>
  <si>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</si>
  <si>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</si>
  <si>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</si>
  <si>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</si>
  <si>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</si>
  <si>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</si>
  <si>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</si>
  <si>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</si>
  <si>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</si>
  <si>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</si>
  <si>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</si>
  <si>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</si>
  <si>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</si>
  <si>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</si>
  <si>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</si>
  <si>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ATR 72-600</t>
  </si>
  <si>
    <t>B777-300ER</t>
  </si>
  <si>
    <t>A320-232 CEO</t>
  </si>
  <si>
    <t>A320-271N pw</t>
  </si>
  <si>
    <t>A321-271NX PW</t>
  </si>
  <si>
    <t>A321-271NX pw</t>
  </si>
  <si>
    <t>A320-251N CFM Leap</t>
  </si>
  <si>
    <t>A321-251NX and A321-252NX leap</t>
  </si>
  <si>
    <t>A321-211 p2f</t>
  </si>
  <si>
    <t>A320-214 CFM</t>
  </si>
  <si>
    <t>15.7T , 12.1T</t>
  </si>
  <si>
    <t>77 T, 73.5T</t>
  </si>
  <si>
    <t>11.4T , 12T</t>
  </si>
  <si>
    <t>73.5T , 74T</t>
  </si>
  <si>
    <t>11.3T, 12T , 16.9T</t>
  </si>
  <si>
    <t>73.5T , 74T , 79T</t>
  </si>
  <si>
    <t>27.4T, 21.6T</t>
  </si>
  <si>
    <t>97T , 89T</t>
  </si>
  <si>
    <t>29.9T</t>
  </si>
  <si>
    <t>97 T</t>
  </si>
  <si>
    <t>11.8T, 16.8T</t>
  </si>
  <si>
    <t>74T , 79T</t>
  </si>
  <si>
    <t>29.6T, 21.8T</t>
  </si>
  <si>
    <t>4.5T</t>
  </si>
  <si>
    <t>23T</t>
  </si>
  <si>
    <t>-</t>
  </si>
  <si>
    <t>24.2T</t>
  </si>
  <si>
    <t>89T</t>
  </si>
  <si>
    <t>351.5T</t>
  </si>
  <si>
    <t>15.5 T</t>
  </si>
  <si>
    <t>77 T</t>
  </si>
  <si>
    <t>TYPE OF AIRCRAFT WISE FLEET STATISTICS OF INDIGO DURING 2023-24</t>
  </si>
  <si>
    <t xml:space="preserve">तालिका 1C (इंडिगो) </t>
  </si>
  <si>
    <t>TABLE - 1C (INDIGO)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</si>
</sst>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_);_(* \(#,##0\);_(* &quot;-&quot;_);_(@_)"/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  <numFmt numFmtId="172" formatCode="_(* #,##0.0_);_(* \(#,##0.0\);_(* &quot;-&quot;_);_(@_)"/>
    <numFmt numFmtId="173" formatCode="_-* #,##0.0_-;\-* #,##0.0_-;_-* &quot;-&quot;??_-;_-@_-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indexed="8"/>
      <name val="Garamond"/>
      <family val="1"/>
    </font>
    <font>
      <b/>
      <sz val="12"/>
      <color theme="1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  <border>
      <left style="thin">
        <color indexed="0"/>
      </left>
      <right style="thin">
        <color indexed="0"/>
      </right>
      <top/>
      <bottom style="thin">
        <color indexed="0"/>
      </bottom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1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wrapText="1"/>
    </xf>
    <xf numFmtId="169" fontId="9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vertical="top" wrapText="1"/>
    </xf>
    <xf numFmtId="169" fontId="8" fillId="5" borderId="9" xfId="7" applyNumberFormat="1" applyFont="1" applyFill="1" applyBorder="1" applyAlignment="1" applyProtection="1">
      <alignment horizontal="left" vertical="center"/>
    </xf>
    <xf numFmtId="169" fontId="8" fillId="5" borderId="9" xfId="7" applyNumberFormat="1" applyFont="1" applyFill="1" applyBorder="1" applyAlignment="1" applyProtection="1">
      <alignment vertical="center"/>
    </xf>
    <xf numFmtId="169" fontId="9" fillId="5" borderId="8" xfId="7" applyNumberFormat="1" applyFont="1" applyFill="1" applyBorder="1" applyAlignment="1" applyProtection="1">
      <alignment vertical="center"/>
    </xf>
    <xf numFmtId="169" fontId="8" fillId="5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6" fillId="3" borderId="1" xfId="0" applyFont="1" applyFill="1" applyBorder="1" applyProtection="1">
      <protection locked="0"/>
    </xf>
    <xf numFmtId="0" fontId="16" fillId="3" borderId="1" xfId="0" applyFont="1" applyFill="1" applyBorder="1" applyAlignment="1" applyProtection="1">
      <alignment wrapText="1"/>
      <protection locked="0"/>
    </xf>
    <xf numFmtId="0" fontId="18" fillId="3" borderId="1" xfId="0" applyFont="1" applyFill="1" applyBorder="1"/>
    <xf numFmtId="0" fontId="16" fillId="3" borderId="0" xfId="2" applyFont="1" applyFill="1"/>
    <xf numFmtId="3" fontId="17" fillId="3" borderId="7" xfId="0" applyNumberFormat="1" applyFont="1" applyFill="1" applyBorder="1" applyAlignment="1" applyProtection="1">
      <alignment horizontal="center" vertical="center"/>
    </xf>
    <xf numFmtId="3" fontId="17" fillId="3" borderId="7" xfId="0" quotePrefix="1" applyNumberFormat="1" applyFont="1" applyFill="1" applyBorder="1" applyAlignment="1" applyProtection="1">
      <alignment horizontal="center" vertical="center"/>
    </xf>
    <xf numFmtId="172" fontId="17" fillId="3" borderId="7" xfId="0" applyNumberFormat="1" applyFont="1" applyFill="1" applyBorder="1" applyAlignment="1" applyProtection="1">
      <alignment horizontal="center" vertical="center"/>
    </xf>
    <xf numFmtId="173" fontId="17" fillId="3" borderId="7" xfId="0" applyNumberFormat="1" applyFont="1" applyFill="1" applyBorder="1" applyAlignment="1" applyProtection="1">
      <alignment horizontal="center" vertical="center"/>
    </xf>
    <xf numFmtId="164" fontId="17" fillId="3" borderId="7" xfId="0" quotePrefix="1" applyNumberFormat="1" applyFont="1" applyFill="1" applyBorder="1" applyAlignment="1" applyProtection="1">
      <alignment horizontal="center" vertical="center"/>
    </xf>
    <xf numFmtId="172" fontId="17" fillId="3" borderId="7" xfId="0" quotePrefix="1" applyNumberFormat="1" applyFont="1" applyFill="1" applyBorder="1" applyAlignment="1" applyProtection="1">
      <alignment horizontal="center" vertical="center"/>
    </xf>
    <xf numFmtId="173" fontId="17" fillId="3" borderId="7" xfId="0" quotePrefix="1" applyNumberFormat="1" applyFont="1" applyFill="1" applyBorder="1" applyAlignment="1" applyProtection="1">
      <alignment horizontal="center" vertical="center"/>
    </xf>
    <xf numFmtId="172" fontId="17" fillId="3" borderId="13" xfId="0" quotePrefix="1" applyNumberFormat="1" applyFont="1" applyFill="1" applyBorder="1" applyAlignment="1" applyProtection="1">
      <alignment horizontal="center" vertical="center"/>
    </xf>
    <xf numFmtId="173" fontId="17" fillId="3" borderId="13" xfId="0" quotePrefix="1" applyNumberFormat="1" applyFont="1" applyFill="1" applyBorder="1" applyAlignment="1" applyProtection="1">
      <alignment horizontal="center" vertical="center"/>
    </xf>
    <xf numFmtId="164" fontId="17" fillId="3" borderId="11" xfId="0" quotePrefix="1" applyNumberFormat="1" applyFont="1" applyFill="1" applyBorder="1" applyAlignment="1" applyProtection="1">
      <alignment horizontal="center" vertical="center"/>
    </xf>
    <xf numFmtId="172" fontId="17" fillId="3" borderId="1" xfId="0" quotePrefix="1" applyNumberFormat="1" applyFont="1" applyFill="1" applyBorder="1" applyAlignment="1" applyProtection="1">
      <alignment horizontal="center" vertical="center"/>
    </xf>
    <xf numFmtId="173" fontId="17" fillId="3" borderId="1" xfId="0" quotePrefix="1" applyNumberFormat="1" applyFont="1" applyFill="1" applyBorder="1" applyAlignment="1" applyProtection="1">
      <alignment horizontal="center" vertical="center"/>
    </xf>
    <xf numFmtId="3" fontId="17" fillId="3" borderId="12" xfId="0" applyNumberFormat="1" applyFont="1" applyFill="1" applyBorder="1" applyAlignment="1" applyProtection="1">
      <alignment horizontal="center" vertical="center"/>
    </xf>
    <xf numFmtId="172" fontId="17" fillId="3" borderId="14" xfId="0" quotePrefix="1" applyNumberFormat="1" applyFont="1" applyFill="1" applyBorder="1" applyAlignment="1" applyProtection="1">
      <alignment horizontal="center" vertical="center"/>
    </xf>
    <xf numFmtId="173" fontId="17" fillId="3" borderId="14" xfId="0" quotePrefix="1" applyNumberFormat="1" applyFont="1" applyFill="1" applyBorder="1" applyAlignment="1" applyProtection="1">
      <alignment horizontal="center" vertical="center"/>
    </xf>
    <xf numFmtId="3" fontId="19" fillId="3" borderId="7" xfId="0" applyNumberFormat="1" applyFont="1" applyFill="1" applyBorder="1" applyAlignment="1" applyProtection="1">
      <alignment horizontal="center" vertical="center"/>
    </xf>
    <xf numFmtId="164" fontId="19" fillId="3" borderId="7" xfId="0" applyNumberFormat="1" applyFont="1" applyFill="1" applyBorder="1" applyAlignment="1" applyProtection="1">
      <alignment horizontal="center" vertical="center"/>
    </xf>
    <xf numFmtId="0" fontId="15" fillId="2" borderId="5" xfId="2" applyFont="1" applyFill="1" applyBorder="1" applyAlignment="1">
      <alignment horizontal="center" vertical="center"/>
    </xf>
    <xf numFmtId="0" fontId="15" fillId="2" borderId="6" xfId="2" applyFont="1" applyFill="1" applyBorder="1" applyAlignment="1">
      <alignment horizontal="center" vertical="center"/>
    </xf>
    <xf numFmtId="0" fontId="15" fillId="2" borderId="3" xfId="2" quotePrefix="1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4" xfId="2" applyFont="1" applyFill="1" applyBorder="1" applyAlignment="1" applyProtection="1">
      <alignment horizontal="center" vertical="center" wrapText="1"/>
    </xf>
    <xf numFmtId="0" fontId="15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104</v>
      </c>
      <c r="B1" s="5" t="s">
        <v>104</v>
      </c>
      <c r="C1" s="5" t="s">
        <v>104</v>
      </c>
      <c r="D1" s="5" t="s">
        <v>104</v>
      </c>
      <c r="E1" s="5" t="s">
        <v>104</v>
      </c>
      <c r="F1" s="5" t="s">
        <v>104</v>
      </c>
      <c r="G1" s="5" t="s">
        <v>104</v>
      </c>
      <c r="H1" s="5" t="s">
        <v>104</v>
      </c>
      <c r="I1" s="5" t="s">
        <v>104</v>
      </c>
      <c r="J1" s="5" t="s">
        <v>104</v>
      </c>
      <c r="K1" s="5" t="s">
        <v>104</v>
      </c>
      <c r="L1" s="5" t="s">
        <v>104</v>
      </c>
      <c r="M1" s="5" t="s">
        <v>104</v>
      </c>
      <c r="N1" s="5" t="s">
        <v>104</v>
      </c>
      <c r="O1" s="5" t="s">
        <v>104</v>
      </c>
      <c r="P1" s="5" t="s">
        <v>104</v>
      </c>
      <c r="Q1" s="5" t="s">
        <v>104</v>
      </c>
      <c r="R1" s="5" t="s">
        <v>104</v>
      </c>
      <c r="S1" s="5" t="s">
        <v>104</v>
      </c>
      <c r="T1" s="5" t="s">
        <v>104</v>
      </c>
      <c r="U1" s="5" t="s">
        <v>104</v>
      </c>
      <c r="V1" s="5" t="s">
        <v>104</v>
      </c>
      <c r="W1" s="5" t="s">
        <v>104</v>
      </c>
      <c r="X1" s="5" t="s">
        <v>104</v>
      </c>
      <c r="Y1" s="5" t="s">
        <v>104</v>
      </c>
      <c r="Z1" s="5" t="s">
        <v>104</v>
      </c>
      <c r="AA1" s="5" t="s">
        <v>104</v>
      </c>
      <c r="AB1" s="5" t="s">
        <v>104</v>
      </c>
      <c r="AC1" s="5" t="s">
        <v>104</v>
      </c>
      <c r="AD1" s="5" t="s">
        <v>104</v>
      </c>
      <c r="AE1" s="5" t="s">
        <v>104</v>
      </c>
      <c r="AF1" s="5" t="s">
        <v>104</v>
      </c>
      <c r="AG1" s="5" t="s">
        <v>104</v>
      </c>
      <c r="AH1" s="5" t="s">
        <v>104</v>
      </c>
      <c r="AI1" s="5" t="s">
        <v>104</v>
      </c>
      <c r="AJ1" s="5" t="s">
        <v>104</v>
      </c>
      <c r="AK1" s="5" t="s">
        <v>104</v>
      </c>
      <c r="AQ1" s="1" t="s">
        <v>40</v>
      </c>
      <c r="AR1" t="s">
        <v>30</v>
      </c>
    </row>
    <row r="2" spans="1:57" x14ac:dyDescent="0.2">
      <c r="A2" s="5" t="s">
        <v>104</v>
      </c>
      <c r="B2" s="22" t="e">
        <f>#REF!</f>
        <v>#REF!</v>
      </c>
      <c r="C2" s="5" t="s">
        <v>104</v>
      </c>
      <c r="D2" s="5" t="s">
        <v>104</v>
      </c>
      <c r="E2" s="5" t="s">
        <v>104</v>
      </c>
      <c r="F2" s="5" t="s">
        <v>104</v>
      </c>
      <c r="G2" s="5" t="s">
        <v>104</v>
      </c>
      <c r="H2" s="5" t="s">
        <v>104</v>
      </c>
      <c r="I2" s="5" t="s">
        <v>104</v>
      </c>
      <c r="J2" s="5" t="s">
        <v>104</v>
      </c>
      <c r="K2" s="5" t="s">
        <v>104</v>
      </c>
      <c r="L2" s="5" t="s">
        <v>104</v>
      </c>
      <c r="M2" s="5" t="s">
        <v>104</v>
      </c>
      <c r="N2" s="5" t="s">
        <v>104</v>
      </c>
      <c r="O2" s="5" t="s">
        <v>104</v>
      </c>
      <c r="P2" s="5" t="s">
        <v>104</v>
      </c>
      <c r="Q2" s="5" t="s">
        <v>104</v>
      </c>
      <c r="R2" s="5" t="s">
        <v>104</v>
      </c>
      <c r="S2" s="5" t="s">
        <v>104</v>
      </c>
      <c r="T2" s="5" t="s">
        <v>104</v>
      </c>
      <c r="U2" s="5" t="s">
        <v>104</v>
      </c>
      <c r="V2" s="5" t="s">
        <v>104</v>
      </c>
      <c r="W2" s="5" t="s">
        <v>104</v>
      </c>
      <c r="X2" s="5" t="s">
        <v>104</v>
      </c>
      <c r="Y2" s="5" t="s">
        <v>104</v>
      </c>
      <c r="Z2" s="5" t="s">
        <v>104</v>
      </c>
      <c r="AA2" s="5" t="s">
        <v>104</v>
      </c>
      <c r="AB2" s="5" t="s">
        <v>104</v>
      </c>
      <c r="AC2" s="5" t="s">
        <v>104</v>
      </c>
      <c r="AD2" s="5" t="s">
        <v>104</v>
      </c>
      <c r="AE2" s="5" t="s">
        <v>104</v>
      </c>
      <c r="AF2" s="5" t="s">
        <v>104</v>
      </c>
      <c r="AG2" s="5" t="s">
        <v>104</v>
      </c>
      <c r="AH2" s="5" t="s">
        <v>104</v>
      </c>
      <c r="AI2" s="5" t="s">
        <v>104</v>
      </c>
      <c r="AJ2" s="5" t="s">
        <v>104</v>
      </c>
      <c r="AK2" s="5" t="s">
        <v>104</v>
      </c>
    </row>
    <row r="3" spans="1:57" ht="15.75" customHeight="1" x14ac:dyDescent="0.2">
      <c r="A3" s="1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5" t="s">
        <v>104</v>
      </c>
      <c r="L3" s="5" t="s">
        <v>104</v>
      </c>
      <c r="M3" s="5" t="s">
        <v>104</v>
      </c>
      <c r="N3" s="5" t="s">
        <v>104</v>
      </c>
      <c r="O3" s="5" t="s">
        <v>104</v>
      </c>
      <c r="P3" s="5" t="s">
        <v>104</v>
      </c>
      <c r="Q3" s="5" t="s">
        <v>104</v>
      </c>
      <c r="R3" s="5" t="s">
        <v>104</v>
      </c>
      <c r="S3" s="5" t="s">
        <v>104</v>
      </c>
      <c r="T3" s="18" t="s">
        <v>104</v>
      </c>
      <c r="U3" s="1" t="s">
        <v>40</v>
      </c>
      <c r="V3" s="1" t="s">
        <v>41</v>
      </c>
      <c r="W3" s="1" t="s">
        <v>55</v>
      </c>
      <c r="X3" s="1" t="s">
        <v>56</v>
      </c>
      <c r="Y3" s="1" t="s">
        <v>57</v>
      </c>
      <c r="Z3" s="1" t="s">
        <v>58</v>
      </c>
      <c r="AA3" s="1" t="s">
        <v>42</v>
      </c>
      <c r="AB3" s="1" t="s">
        <v>43</v>
      </c>
      <c r="AC3" s="1" t="s">
        <v>44</v>
      </c>
      <c r="AD3" s="1" t="s">
        <v>59</v>
      </c>
      <c r="AE3" s="1" t="s">
        <v>60</v>
      </c>
      <c r="AF3" s="1" t="s">
        <v>61</v>
      </c>
      <c r="AG3" s="1" t="s">
        <v>62</v>
      </c>
      <c r="AH3" s="1" t="s">
        <v>63</v>
      </c>
      <c r="AI3" s="1" t="s">
        <v>64</v>
      </c>
      <c r="AJ3" s="1" t="s">
        <v>65</v>
      </c>
      <c r="AK3" s="1" t="s">
        <v>66</v>
      </c>
      <c r="AQ3" s="1" t="s">
        <v>41</v>
      </c>
      <c r="AR3" s="1" t="s">
        <v>55</v>
      </c>
      <c r="AS3" s="1" t="s">
        <v>56</v>
      </c>
      <c r="AT3" s="1" t="s">
        <v>57</v>
      </c>
      <c r="AU3" s="1" t="s">
        <v>58</v>
      </c>
      <c r="AV3" s="1" t="s">
        <v>42</v>
      </c>
      <c r="AW3" s="1" t="s">
        <v>43</v>
      </c>
      <c r="AX3" s="1" t="s">
        <v>44</v>
      </c>
      <c r="AY3" s="1" t="s">
        <v>59</v>
      </c>
      <c r="AZ3" s="1" t="s">
        <v>60</v>
      </c>
      <c r="BA3" s="1" t="s">
        <v>62</v>
      </c>
      <c r="BB3" s="1" t="s">
        <v>63</v>
      </c>
      <c r="BC3" s="1" t="s">
        <v>64</v>
      </c>
      <c r="BD3" s="1" t="s">
        <v>66</v>
      </c>
    </row>
    <row r="4" spans="1:57" ht="15.75" customHeight="1" x14ac:dyDescent="0.2">
      <c r="A4" s="2" t="s">
        <v>24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52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0"/>
    </row>
    <row r="6" spans="1:57" x14ac:dyDescent="0.2">
      <c r="A6" s="2" t="s">
        <v>30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0"/>
    </row>
    <row r="7" spans="1:57" x14ac:dyDescent="0.2">
      <c r="A7" s="2" t="s">
        <v>27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 x14ac:dyDescent="0.2">
      <c r="A8" s="2" t="s">
        <v>28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 x14ac:dyDescent="0.2">
      <c r="A9" s="2" t="s">
        <v>29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 x14ac:dyDescent="0.2">
      <c r="A10" s="2" t="s">
        <v>33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 x14ac:dyDescent="0.2">
      <c r="A11" s="2" t="s">
        <v>35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 x14ac:dyDescent="0.2">
      <c r="A12" s="2" t="s">
        <v>36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 x14ac:dyDescent="0.2">
      <c r="A13" s="2" t="s">
        <v>178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 x14ac:dyDescent="0.2">
      <c r="A14" s="2" t="s">
        <v>39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 x14ac:dyDescent="0.2">
      <c r="A15" s="2" t="s">
        <v>48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 x14ac:dyDescent="0.2">
      <c r="A16" s="2" t="s">
        <v>49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 x14ac:dyDescent="0.2">
      <c r="A17" s="2" t="s">
        <v>50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 x14ac:dyDescent="0.2">
      <c r="A18" s="2" t="s">
        <v>185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 x14ac:dyDescent="0.2">
      <c r="A19" s="2" t="s">
        <v>186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 x14ac:dyDescent="0.2">
      <c r="A20" s="2" t="s">
        <v>53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 x14ac:dyDescent="0.2">
      <c r="T21" s="19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 x14ac:dyDescent="0.2">
      <c r="T28" s="19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 x14ac:dyDescent="0.2">
      <c r="T29" s="19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 x14ac:dyDescent="0.2">
      <c r="T31" s="19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 x14ac:dyDescent="0.2">
      <c r="T32" s="19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 x14ac:dyDescent="0.2">
      <c r="T33" s="19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 x14ac:dyDescent="0.2">
      <c r="T34" s="19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 x14ac:dyDescent="0.2">
      <c r="T35" s="19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 x14ac:dyDescent="0.2">
      <c r="T40" s="19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 x14ac:dyDescent="0.2">
      <c r="T41" s="19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 x14ac:dyDescent="0.2">
      <c r="T49" s="19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51</v>
      </c>
      <c r="B3" t="s">
        <v>69</v>
      </c>
      <c r="C3" t="s">
        <v>79</v>
      </c>
      <c r="V3" s="4" t="s">
        <v>80</v>
      </c>
      <c r="W3" s="1" t="s">
        <v>45</v>
      </c>
      <c r="X3" s="1" t="s">
        <v>67</v>
      </c>
      <c r="Y3" t="s">
        <v>78</v>
      </c>
      <c r="Z3" t="s">
        <v>69</v>
      </c>
      <c r="AA3" t="s">
        <v>79</v>
      </c>
    </row>
    <row r="4" spans="1:27" x14ac:dyDescent="0.2">
      <c r="A4" s="2" t="s">
        <v>35</v>
      </c>
      <c r="B4" s="3">
        <v>2467</v>
      </c>
      <c r="C4" s="3">
        <v>3806.1423290000002</v>
      </c>
      <c r="V4" t="str">
        <f>W4&amp;X4</f>
        <v>AIR ASIAP1</v>
      </c>
      <c r="W4" t="s">
        <v>35</v>
      </c>
      <c r="X4" t="s">
        <v>7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27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3"/>
      <c r="Z5" s="3"/>
      <c r="AA5" s="3"/>
    </row>
    <row r="6" spans="1:27" x14ac:dyDescent="0.2">
      <c r="A6" s="2" t="s">
        <v>28</v>
      </c>
      <c r="B6" s="3">
        <v>1472</v>
      </c>
      <c r="C6" s="3">
        <v>2956.1</v>
      </c>
      <c r="V6" t="str">
        <f t="shared" si="0"/>
        <v>AIR ASIAP3</v>
      </c>
      <c r="W6" t="s">
        <v>35</v>
      </c>
      <c r="X6" t="s">
        <v>9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50</v>
      </c>
      <c r="B7" s="3">
        <v>61052</v>
      </c>
      <c r="C7" s="3">
        <v>93775.981349000009</v>
      </c>
      <c r="V7" t="str">
        <f t="shared" si="0"/>
        <v>AIR ASIAP4</v>
      </c>
      <c r="W7" t="s">
        <v>35</v>
      </c>
      <c r="X7" t="s">
        <v>10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29</v>
      </c>
      <c r="B8" s="3">
        <v>648</v>
      </c>
      <c r="C8" s="3">
        <v>1392.7165519999999</v>
      </c>
      <c r="V8" t="str">
        <f t="shared" si="0"/>
        <v>AIR ASIAP4.1</v>
      </c>
      <c r="W8" t="s">
        <v>35</v>
      </c>
      <c r="X8" t="s">
        <v>46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37</v>
      </c>
      <c r="B9" s="3">
        <v>1389</v>
      </c>
      <c r="C9" s="3">
        <v>1617.18</v>
      </c>
      <c r="V9" t="str">
        <f t="shared" si="0"/>
        <v>AIR ASIAP4.2</v>
      </c>
      <c r="W9" t="s">
        <v>35</v>
      </c>
      <c r="X9" t="s">
        <v>47</v>
      </c>
      <c r="Y9" s="3"/>
      <c r="Z9" s="3"/>
      <c r="AA9" s="3"/>
    </row>
    <row r="10" spans="1:27" x14ac:dyDescent="0.2">
      <c r="A10" s="2" t="s">
        <v>30</v>
      </c>
      <c r="B10" s="3">
        <v>4140</v>
      </c>
      <c r="C10" s="3">
        <v>6380</v>
      </c>
      <c r="V10" t="str">
        <f t="shared" si="0"/>
        <v>AIR ASIAP5</v>
      </c>
      <c r="W10" t="s">
        <v>35</v>
      </c>
      <c r="X10" t="s">
        <v>11</v>
      </c>
      <c r="Y10" s="3"/>
      <c r="Z10" s="3"/>
      <c r="AA10" s="3"/>
    </row>
    <row r="11" spans="1:27" x14ac:dyDescent="0.2">
      <c r="A11" s="2" t="s">
        <v>24</v>
      </c>
      <c r="B11" s="3">
        <v>25201</v>
      </c>
      <c r="C11" s="3">
        <v>33290.79</v>
      </c>
      <c r="V11" t="str">
        <f t="shared" si="0"/>
        <v>AIR ASIAP6</v>
      </c>
      <c r="W11" t="s">
        <v>35</v>
      </c>
      <c r="X11" t="s">
        <v>12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48</v>
      </c>
      <c r="B12" s="3">
        <v>12112</v>
      </c>
      <c r="C12" s="3">
        <v>34401.086552000001</v>
      </c>
      <c r="V12" t="str">
        <f t="shared" si="0"/>
        <v>AIR INDIAP1</v>
      </c>
      <c r="W12" t="s">
        <v>27</v>
      </c>
      <c r="X12" t="s">
        <v>7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49</v>
      </c>
      <c r="B13" s="3">
        <v>48940</v>
      </c>
      <c r="C13" s="3">
        <v>59374.894797000001</v>
      </c>
      <c r="V13" t="str">
        <f t="shared" si="0"/>
        <v>AIR INDIAP2</v>
      </c>
      <c r="W13" t="s">
        <v>27</v>
      </c>
      <c r="X13" t="s">
        <v>8</v>
      </c>
      <c r="Y13" s="3"/>
      <c r="Z13" s="3"/>
      <c r="AA13" s="3"/>
    </row>
    <row r="14" spans="1:27" x14ac:dyDescent="0.2">
      <c r="A14" s="2" t="s">
        <v>33</v>
      </c>
      <c r="B14" s="3">
        <v>12094</v>
      </c>
      <c r="C14" s="3">
        <v>9401.4900000000016</v>
      </c>
      <c r="V14" t="str">
        <f t="shared" si="0"/>
        <v>AIR INDIAP3</v>
      </c>
      <c r="W14" t="s">
        <v>27</v>
      </c>
      <c r="X14" t="s">
        <v>9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39</v>
      </c>
      <c r="B15" s="3">
        <v>895</v>
      </c>
      <c r="C15" s="3">
        <v>801.87858399999982</v>
      </c>
      <c r="V15" t="str">
        <f t="shared" si="0"/>
        <v>AIR INDIAP4</v>
      </c>
      <c r="W15" t="s">
        <v>27</v>
      </c>
      <c r="X15" t="s">
        <v>10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36</v>
      </c>
      <c r="B16" s="3">
        <v>2721</v>
      </c>
      <c r="C16" s="3">
        <v>4070.3999999999996</v>
      </c>
      <c r="V16" t="str">
        <f t="shared" si="0"/>
        <v>AIR INDIAP4.1</v>
      </c>
      <c r="W16" t="s">
        <v>27</v>
      </c>
      <c r="X16" t="s">
        <v>46</v>
      </c>
      <c r="Y16" s="3"/>
      <c r="Z16" s="3"/>
      <c r="AA16" s="3"/>
    </row>
    <row r="17" spans="1:27" x14ac:dyDescent="0.2">
      <c r="A17" s="2" t="s">
        <v>52</v>
      </c>
      <c r="B17" s="3"/>
      <c r="C17" s="3"/>
      <c r="V17" t="str">
        <f t="shared" si="0"/>
        <v>AIR INDIAP4.2</v>
      </c>
      <c r="W17" t="s">
        <v>27</v>
      </c>
      <c r="X17" t="s">
        <v>47</v>
      </c>
      <c r="Y17" s="3"/>
      <c r="Z17" s="3"/>
      <c r="AA17" s="3"/>
    </row>
    <row r="18" spans="1:27" x14ac:dyDescent="0.2">
      <c r="A18" s="2" t="s">
        <v>185</v>
      </c>
      <c r="B18" s="3"/>
      <c r="C18" s="3"/>
      <c r="V18" t="str">
        <f t="shared" si="0"/>
        <v>AIR INDIAP5</v>
      </c>
      <c r="W18" t="s">
        <v>27</v>
      </c>
      <c r="X18" t="s">
        <v>11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187</v>
      </c>
      <c r="B19" s="3">
        <v>33</v>
      </c>
      <c r="C19" s="3">
        <v>7.0138840000000009</v>
      </c>
      <c r="V19" t="str">
        <f t="shared" si="0"/>
        <v>AIR INDIAP6</v>
      </c>
      <c r="W19" t="s">
        <v>27</v>
      </c>
      <c r="X19" t="s">
        <v>12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53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28</v>
      </c>
      <c r="X20" t="s">
        <v>7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28</v>
      </c>
      <c r="X21" t="s">
        <v>8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28</v>
      </c>
      <c r="X22" t="s">
        <v>9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28</v>
      </c>
      <c r="X23" t="s">
        <v>10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28</v>
      </c>
      <c r="X24" t="s">
        <v>46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28</v>
      </c>
      <c r="X25" t="s">
        <v>47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28</v>
      </c>
      <c r="X26" t="s">
        <v>11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28</v>
      </c>
      <c r="X27" t="s">
        <v>12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50</v>
      </c>
      <c r="X28" t="s">
        <v>7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50</v>
      </c>
      <c r="X29" t="s">
        <v>8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50</v>
      </c>
      <c r="X30" t="s">
        <v>9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50</v>
      </c>
      <c r="X31" t="s">
        <v>10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50</v>
      </c>
      <c r="X32" t="s">
        <v>46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50</v>
      </c>
      <c r="X33" t="s">
        <v>47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50</v>
      </c>
      <c r="X34" t="s">
        <v>11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50</v>
      </c>
      <c r="X35" t="s">
        <v>12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29</v>
      </c>
      <c r="X36" t="s">
        <v>7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29</v>
      </c>
      <c r="X37" t="s">
        <v>8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29</v>
      </c>
      <c r="X38" t="s">
        <v>9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29</v>
      </c>
      <c r="X39" t="s">
        <v>10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29</v>
      </c>
      <c r="X40" t="s">
        <v>46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29</v>
      </c>
      <c r="X41" t="s">
        <v>47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29</v>
      </c>
      <c r="X42" t="s">
        <v>11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29</v>
      </c>
      <c r="X43" t="s">
        <v>12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37</v>
      </c>
      <c r="X44" t="s">
        <v>7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37</v>
      </c>
      <c r="X45" t="s">
        <v>8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37</v>
      </c>
      <c r="X46" t="s">
        <v>9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37</v>
      </c>
      <c r="X47" t="s">
        <v>10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37</v>
      </c>
      <c r="X48" t="s">
        <v>46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37</v>
      </c>
      <c r="X49" t="s">
        <v>47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37</v>
      </c>
      <c r="X50" t="s">
        <v>11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37</v>
      </c>
      <c r="X51" t="s">
        <v>12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30</v>
      </c>
      <c r="X52" t="s">
        <v>7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30</v>
      </c>
      <c r="X53" t="s">
        <v>8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30</v>
      </c>
      <c r="X54" t="s">
        <v>9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30</v>
      </c>
      <c r="X55" t="s">
        <v>10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30</v>
      </c>
      <c r="X56" t="s">
        <v>46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30</v>
      </c>
      <c r="X57" t="s">
        <v>47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30</v>
      </c>
      <c r="X58" t="s">
        <v>11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30</v>
      </c>
      <c r="X59" t="s">
        <v>12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24</v>
      </c>
      <c r="X60" t="s">
        <v>7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24</v>
      </c>
      <c r="X61" t="s">
        <v>8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24</v>
      </c>
      <c r="X62" t="s">
        <v>9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24</v>
      </c>
      <c r="X63" t="s">
        <v>10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24</v>
      </c>
      <c r="X64" t="s">
        <v>46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24</v>
      </c>
      <c r="X65" t="s">
        <v>47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24</v>
      </c>
      <c r="X66" t="s">
        <v>11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24</v>
      </c>
      <c r="X67" t="s">
        <v>12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48</v>
      </c>
      <c r="X68" t="s">
        <v>7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48</v>
      </c>
      <c r="X69" t="s">
        <v>8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48</v>
      </c>
      <c r="X70" t="s">
        <v>9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48</v>
      </c>
      <c r="X71" t="s">
        <v>10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48</v>
      </c>
      <c r="X72" t="s">
        <v>46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48</v>
      </c>
      <c r="X73" t="s">
        <v>47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48</v>
      </c>
      <c r="X74" t="s">
        <v>11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48</v>
      </c>
      <c r="X75" t="s">
        <v>12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49</v>
      </c>
      <c r="X76" t="s">
        <v>7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49</v>
      </c>
      <c r="X77" t="s">
        <v>8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49</v>
      </c>
      <c r="X78" t="s">
        <v>9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49</v>
      </c>
      <c r="X79" t="s">
        <v>10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49</v>
      </c>
      <c r="X80" t="s">
        <v>46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49</v>
      </c>
      <c r="X81" t="s">
        <v>47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49</v>
      </c>
      <c r="X82" t="s">
        <v>11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49</v>
      </c>
      <c r="X83" t="s">
        <v>12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33</v>
      </c>
      <c r="X84" t="s">
        <v>7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33</v>
      </c>
      <c r="X85" t="s">
        <v>8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33</v>
      </c>
      <c r="X86" t="s">
        <v>9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33</v>
      </c>
      <c r="X87" t="s">
        <v>10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33</v>
      </c>
      <c r="X88" t="s">
        <v>46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33</v>
      </c>
      <c r="X89" t="s">
        <v>47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33</v>
      </c>
      <c r="X90" t="s">
        <v>11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33</v>
      </c>
      <c r="X91" t="s">
        <v>12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39</v>
      </c>
      <c r="X92" t="s">
        <v>7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39</v>
      </c>
      <c r="X93" t="s">
        <v>8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39</v>
      </c>
      <c r="X94" t="s">
        <v>9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39</v>
      </c>
      <c r="X95" t="s">
        <v>10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39</v>
      </c>
      <c r="X96" t="s">
        <v>46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39</v>
      </c>
      <c r="X97" t="s">
        <v>47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39</v>
      </c>
      <c r="X98" t="s">
        <v>11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39</v>
      </c>
      <c r="X99" t="s">
        <v>12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36</v>
      </c>
      <c r="X100" t="s">
        <v>7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36</v>
      </c>
      <c r="X101" t="s">
        <v>8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36</v>
      </c>
      <c r="X102" t="s">
        <v>9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36</v>
      </c>
      <c r="X103" t="s">
        <v>10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36</v>
      </c>
      <c r="X104" t="s">
        <v>46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36</v>
      </c>
      <c r="X105" t="s">
        <v>47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36</v>
      </c>
      <c r="X106" t="s">
        <v>11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36</v>
      </c>
      <c r="X107" t="s">
        <v>12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52</v>
      </c>
      <c r="X108" t="s">
        <v>52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185</v>
      </c>
      <c r="X109" t="s">
        <v>7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185</v>
      </c>
      <c r="X110" t="s">
        <v>8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185</v>
      </c>
      <c r="X111" t="s">
        <v>9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185</v>
      </c>
      <c r="X112" t="s">
        <v>10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185</v>
      </c>
      <c r="X113" t="s">
        <v>46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185</v>
      </c>
      <c r="X114" t="s">
        <v>47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185</v>
      </c>
      <c r="X115" t="s">
        <v>11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185</v>
      </c>
      <c r="X116" t="s">
        <v>12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187</v>
      </c>
      <c r="X117" t="s">
        <v>7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187</v>
      </c>
      <c r="X118" t="s">
        <v>8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187</v>
      </c>
      <c r="X119" t="s">
        <v>9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187</v>
      </c>
      <c r="X120" t="s">
        <v>10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187</v>
      </c>
      <c r="X121" t="s">
        <v>46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187</v>
      </c>
      <c r="X122" t="s">
        <v>47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187</v>
      </c>
      <c r="X123" t="s">
        <v>11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187</v>
      </c>
      <c r="X124" t="s">
        <v>12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22</v>
      </c>
      <c r="C2" s="7" t="s">
        <v>106</v>
      </c>
      <c r="D2" s="7" t="s">
        <v>107</v>
      </c>
      <c r="E2" s="7" t="s">
        <v>23</v>
      </c>
      <c r="F2" s="7" t="s">
        <v>108</v>
      </c>
      <c r="G2" s="8" t="s">
        <v>109</v>
      </c>
      <c r="H2" s="8" t="s">
        <v>110</v>
      </c>
      <c r="I2" s="9" t="s">
        <v>111</v>
      </c>
      <c r="J2" s="8" t="s">
        <v>112</v>
      </c>
      <c r="K2" s="8" t="s">
        <v>113</v>
      </c>
      <c r="L2" s="8" t="s">
        <v>114</v>
      </c>
      <c r="M2" s="8" t="s">
        <v>115</v>
      </c>
      <c r="N2" s="8" t="s">
        <v>116</v>
      </c>
      <c r="O2" s="8" t="s">
        <v>117</v>
      </c>
      <c r="P2" s="8" t="s">
        <v>118</v>
      </c>
      <c r="Q2" s="8" t="s">
        <v>119</v>
      </c>
      <c r="R2" s="8" t="s">
        <v>120</v>
      </c>
      <c r="S2" s="10" t="s">
        <v>121</v>
      </c>
      <c r="T2" s="8" t="s">
        <v>122</v>
      </c>
      <c r="U2" s="8" t="s">
        <v>123</v>
      </c>
      <c r="V2" s="7" t="s">
        <v>124</v>
      </c>
      <c r="W2" s="8" t="s">
        <v>125</v>
      </c>
      <c r="X2" s="7" t="s">
        <v>126</v>
      </c>
      <c r="Y2" s="7" t="s">
        <v>127</v>
      </c>
    </row>
    <row r="3" spans="1:25" x14ac:dyDescent="0.2">
      <c r="A3" s="1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5" customFormat="1" x14ac:dyDescent="0.2">
      <c r="A4" s="17" t="s">
        <v>35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27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28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29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37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30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24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31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32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33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39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36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52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48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49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50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185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186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184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53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0" transitionEvaluation="1" transitionEntry="1" codeName="Sheet11">
    <tabColor theme="9" tint="0.39997558519241921"/>
  </sheetPr>
  <dimension ref="A1:Q36"/>
  <sheetViews>
    <sheetView showGridLines="0" tabSelected="1" view="pageBreakPreview" topLeftCell="A10" zoomScaleNormal="100" zoomScaleSheetLayoutView="100" workbookViewId="0">
      <selection activeCell="A3" sqref="A3:N3"/>
    </sheetView>
  </sheetViews>
  <sheetFormatPr defaultColWidth="11" defaultRowHeight="35.1" customHeight="1" x14ac:dyDescent="0.25"/>
  <cols>
    <col min="1" max="1" width="17.28515625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10.28515625" style="23" customWidth="1"/>
    <col min="7" max="7" width="12.28515625" style="23" customWidth="1"/>
    <col min="8" max="8" width="12.42578125" style="23" customWidth="1"/>
    <col min="9" max="9" width="12.140625" style="23" customWidth="1"/>
    <col min="10" max="10" width="9.85546875" style="23" customWidth="1"/>
    <col min="11" max="11" width="11.42578125" style="23" customWidth="1"/>
    <col min="12" max="12" width="13.140625" style="23" customWidth="1"/>
    <col min="13" max="13" width="10.28515625" style="23" customWidth="1"/>
    <col min="14" max="14" width="12.85546875" style="23" customWidth="1"/>
    <col min="15" max="15" width="17.85546875" style="23" customWidth="1"/>
    <col min="16" max="16384" width="11" style="23"/>
  </cols>
  <sheetData>
    <row r="1" spans="1:14" ht="24.95" customHeight="1" x14ac:dyDescent="0.25">
      <c r="A1" s="46" t="s">
        <v>220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</row>
    <row r="2" spans="1:14" ht="24.95" customHeight="1" x14ac:dyDescent="0.25">
      <c r="A2" s="48" t="s">
        <v>221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</row>
    <row r="3" spans="1:14" ht="32.25" customHeight="1" x14ac:dyDescent="0.25">
      <c r="A3" s="52" t="s">
        <v>219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</row>
    <row r="4" spans="1:14" ht="35.1" customHeight="1" x14ac:dyDescent="0.25">
      <c r="A4" s="49" t="s">
        <v>21</v>
      </c>
      <c r="B4" s="50" t="s">
        <v>6</v>
      </c>
      <c r="C4" s="50"/>
      <c r="D4" s="50"/>
      <c r="E4" s="50"/>
      <c r="F4" s="50" t="s">
        <v>5</v>
      </c>
      <c r="G4" s="50"/>
      <c r="H4" s="50"/>
      <c r="I4" s="50" t="s">
        <v>4</v>
      </c>
      <c r="J4" s="50"/>
      <c r="K4" s="50"/>
      <c r="L4" s="50"/>
      <c r="M4" s="50"/>
      <c r="N4" s="50"/>
    </row>
    <row r="5" spans="1:14" ht="35.1" customHeight="1" x14ac:dyDescent="0.25">
      <c r="A5" s="49"/>
      <c r="B5" s="49" t="s">
        <v>20</v>
      </c>
      <c r="C5" s="49" t="s">
        <v>19</v>
      </c>
      <c r="D5" s="49" t="s">
        <v>18</v>
      </c>
      <c r="E5" s="49" t="s">
        <v>17</v>
      </c>
      <c r="F5" s="49" t="s">
        <v>3</v>
      </c>
      <c r="G5" s="49" t="s">
        <v>26</v>
      </c>
      <c r="H5" s="49" t="s">
        <v>13</v>
      </c>
      <c r="I5" s="50" t="s">
        <v>2</v>
      </c>
      <c r="J5" s="50"/>
      <c r="K5" s="50"/>
      <c r="L5" s="50" t="s">
        <v>1</v>
      </c>
      <c r="M5" s="50"/>
      <c r="N5" s="50"/>
    </row>
    <row r="6" spans="1:14" ht="95.25" customHeight="1" x14ac:dyDescent="0.25">
      <c r="A6" s="49"/>
      <c r="B6" s="49"/>
      <c r="C6" s="49"/>
      <c r="D6" s="49"/>
      <c r="E6" s="49"/>
      <c r="F6" s="49"/>
      <c r="G6" s="49"/>
      <c r="H6" s="49"/>
      <c r="I6" s="24" t="s">
        <v>14</v>
      </c>
      <c r="J6" s="24" t="s">
        <v>15</v>
      </c>
      <c r="K6" s="24" t="s">
        <v>16</v>
      </c>
      <c r="L6" s="24" t="s">
        <v>14</v>
      </c>
      <c r="M6" s="24" t="s">
        <v>15</v>
      </c>
      <c r="N6" s="24" t="s">
        <v>16</v>
      </c>
    </row>
    <row r="7" spans="1:14" ht="27" customHeight="1" x14ac:dyDescent="0.25">
      <c r="A7" s="25" t="s">
        <v>190</v>
      </c>
      <c r="B7" s="29">
        <v>21</v>
      </c>
      <c r="C7" s="29">
        <v>1</v>
      </c>
      <c r="D7" s="29">
        <v>2</v>
      </c>
      <c r="E7" s="29">
        <v>20</v>
      </c>
      <c r="F7" s="30">
        <v>180</v>
      </c>
      <c r="G7" s="31" t="s">
        <v>198</v>
      </c>
      <c r="H7" s="32" t="s">
        <v>199</v>
      </c>
      <c r="I7" s="29">
        <v>50494</v>
      </c>
      <c r="J7" s="29">
        <v>344</v>
      </c>
      <c r="K7" s="29">
        <v>50909</v>
      </c>
      <c r="L7" s="29">
        <v>97209.616666664864</v>
      </c>
      <c r="M7" s="29">
        <v>419.51666666666722</v>
      </c>
      <c r="N7" s="29">
        <v>97785.349999998187</v>
      </c>
    </row>
    <row r="8" spans="1:14" ht="22.5" customHeight="1" x14ac:dyDescent="0.25">
      <c r="A8" s="25" t="s">
        <v>191</v>
      </c>
      <c r="B8" s="29">
        <v>23</v>
      </c>
      <c r="C8" s="29">
        <v>0</v>
      </c>
      <c r="D8" s="29">
        <v>0</v>
      </c>
      <c r="E8" s="29">
        <v>23</v>
      </c>
      <c r="F8" s="33">
        <v>180</v>
      </c>
      <c r="G8" s="34" t="s">
        <v>200</v>
      </c>
      <c r="H8" s="35" t="s">
        <v>201</v>
      </c>
      <c r="I8" s="29">
        <v>40198</v>
      </c>
      <c r="J8" s="29">
        <v>265</v>
      </c>
      <c r="K8" s="29">
        <v>40531</v>
      </c>
      <c r="L8" s="29">
        <v>72040.683333332097</v>
      </c>
      <c r="M8" s="29">
        <v>335.31666666666678</v>
      </c>
      <c r="N8" s="29">
        <v>72546.283333332089</v>
      </c>
    </row>
    <row r="9" spans="1:14" ht="22.5" customHeight="1" x14ac:dyDescent="0.25">
      <c r="A9" s="25" t="s">
        <v>191</v>
      </c>
      <c r="B9" s="29">
        <v>88</v>
      </c>
      <c r="C9" s="29">
        <v>0</v>
      </c>
      <c r="D9" s="29">
        <v>0</v>
      </c>
      <c r="E9" s="29">
        <v>88</v>
      </c>
      <c r="F9" s="33">
        <v>186</v>
      </c>
      <c r="G9" s="36" t="s">
        <v>202</v>
      </c>
      <c r="H9" s="37" t="s">
        <v>203</v>
      </c>
      <c r="I9" s="29">
        <v>137035</v>
      </c>
      <c r="J9" s="29">
        <v>1005</v>
      </c>
      <c r="K9" s="29">
        <v>138164</v>
      </c>
      <c r="L9" s="29">
        <v>281319.01666666975</v>
      </c>
      <c r="M9" s="29">
        <v>1324.2833333333324</v>
      </c>
      <c r="N9" s="29">
        <v>282932.75000000309</v>
      </c>
    </row>
    <row r="10" spans="1:14" ht="22.5" customHeight="1" x14ac:dyDescent="0.25">
      <c r="A10" s="25" t="s">
        <v>192</v>
      </c>
      <c r="B10" s="29">
        <v>15</v>
      </c>
      <c r="C10" s="29">
        <v>0</v>
      </c>
      <c r="D10" s="29">
        <v>0</v>
      </c>
      <c r="E10" s="29">
        <v>15</v>
      </c>
      <c r="F10" s="38">
        <v>222</v>
      </c>
      <c r="G10" s="39" t="s">
        <v>204</v>
      </c>
      <c r="H10" s="40" t="s">
        <v>205</v>
      </c>
      <c r="I10" s="41">
        <v>20896</v>
      </c>
      <c r="J10" s="29">
        <v>7</v>
      </c>
      <c r="K10" s="29">
        <v>20906</v>
      </c>
      <c r="L10" s="29">
        <v>48483.96666666658</v>
      </c>
      <c r="M10" s="29">
        <v>10.216666666666667</v>
      </c>
      <c r="N10" s="29">
        <v>48497.166666666577</v>
      </c>
    </row>
    <row r="11" spans="1:14" ht="22.5" customHeight="1" x14ac:dyDescent="0.25">
      <c r="A11" s="25" t="s">
        <v>193</v>
      </c>
      <c r="B11" s="29">
        <v>10</v>
      </c>
      <c r="C11" s="29">
        <v>0</v>
      </c>
      <c r="D11" s="29">
        <v>0</v>
      </c>
      <c r="E11" s="29">
        <v>10</v>
      </c>
      <c r="F11" s="33">
        <v>232</v>
      </c>
      <c r="G11" s="42" t="s">
        <v>206</v>
      </c>
      <c r="H11" s="43" t="s">
        <v>207</v>
      </c>
      <c r="I11" s="29">
        <v>7467</v>
      </c>
      <c r="J11" s="29">
        <v>2</v>
      </c>
      <c r="K11" s="29">
        <v>7469</v>
      </c>
      <c r="L11" s="29">
        <v>14373.583333333401</v>
      </c>
      <c r="M11" s="29">
        <v>3</v>
      </c>
      <c r="N11" s="29">
        <v>14376.583333333401</v>
      </c>
    </row>
    <row r="12" spans="1:14" ht="22.5" customHeight="1" x14ac:dyDescent="0.25">
      <c r="A12" s="25" t="s">
        <v>194</v>
      </c>
      <c r="B12" s="29">
        <v>51</v>
      </c>
      <c r="C12" s="29">
        <v>30</v>
      </c>
      <c r="D12" s="29">
        <v>0</v>
      </c>
      <c r="E12" s="29">
        <v>81</v>
      </c>
      <c r="F12" s="33">
        <v>186</v>
      </c>
      <c r="G12" s="31" t="s">
        <v>208</v>
      </c>
      <c r="H12" s="32" t="s">
        <v>209</v>
      </c>
      <c r="I12" s="29">
        <v>158732</v>
      </c>
      <c r="J12" s="29">
        <v>525</v>
      </c>
      <c r="K12" s="29">
        <v>159458</v>
      </c>
      <c r="L12" s="29">
        <v>331392.66666666861</v>
      </c>
      <c r="M12" s="29">
        <v>649.56666666666661</v>
      </c>
      <c r="N12" s="29">
        <v>332592.45000000193</v>
      </c>
    </row>
    <row r="13" spans="1:14" ht="48" customHeight="1" x14ac:dyDescent="0.25">
      <c r="A13" s="26" t="s">
        <v>195</v>
      </c>
      <c r="B13" s="29">
        <v>54</v>
      </c>
      <c r="C13" s="29">
        <v>15</v>
      </c>
      <c r="D13" s="29">
        <v>0</v>
      </c>
      <c r="E13" s="29">
        <v>69</v>
      </c>
      <c r="F13" s="33">
        <v>232</v>
      </c>
      <c r="G13" s="31" t="s">
        <v>210</v>
      </c>
      <c r="H13" s="32" t="s">
        <v>205</v>
      </c>
      <c r="I13" s="29">
        <v>157425</v>
      </c>
      <c r="J13" s="29">
        <v>24</v>
      </c>
      <c r="K13" s="29">
        <v>157475</v>
      </c>
      <c r="L13" s="29">
        <v>319854.73333331087</v>
      </c>
      <c r="M13" s="29">
        <v>49.61666666666666</v>
      </c>
      <c r="N13" s="29">
        <v>320024.8999999775</v>
      </c>
    </row>
    <row r="14" spans="1:14" ht="24" customHeight="1" x14ac:dyDescent="0.25">
      <c r="A14" s="26" t="s">
        <v>188</v>
      </c>
      <c r="B14" s="29">
        <v>39</v>
      </c>
      <c r="C14" s="29">
        <v>6</v>
      </c>
      <c r="D14" s="29">
        <v>0</v>
      </c>
      <c r="E14" s="29">
        <v>45</v>
      </c>
      <c r="F14" s="33">
        <v>78</v>
      </c>
      <c r="G14" s="34" t="s">
        <v>211</v>
      </c>
      <c r="H14" s="35" t="s">
        <v>212</v>
      </c>
      <c r="I14" s="29">
        <v>113188</v>
      </c>
      <c r="J14" s="29">
        <v>595</v>
      </c>
      <c r="K14" s="29">
        <v>113954</v>
      </c>
      <c r="L14" s="29">
        <v>159446.35000000498</v>
      </c>
      <c r="M14" s="29">
        <v>1095.8000000000015</v>
      </c>
      <c r="N14" s="29">
        <v>160848.65000000497</v>
      </c>
    </row>
    <row r="15" spans="1:14" ht="24" customHeight="1" x14ac:dyDescent="0.25">
      <c r="A15" s="26" t="s">
        <v>196</v>
      </c>
      <c r="B15" s="29">
        <v>2</v>
      </c>
      <c r="C15" s="29">
        <v>1</v>
      </c>
      <c r="D15" s="29">
        <v>0</v>
      </c>
      <c r="E15" s="29">
        <v>3</v>
      </c>
      <c r="F15" s="33" t="s">
        <v>213</v>
      </c>
      <c r="G15" s="34" t="s">
        <v>214</v>
      </c>
      <c r="H15" s="35" t="s">
        <v>215</v>
      </c>
      <c r="I15" s="29" t="s">
        <v>213</v>
      </c>
      <c r="J15" s="29">
        <v>1183</v>
      </c>
      <c r="K15" s="29">
        <v>1187</v>
      </c>
      <c r="L15" s="29" t="s">
        <v>213</v>
      </c>
      <c r="M15" s="29">
        <v>3272.2166666666699</v>
      </c>
      <c r="N15" s="29">
        <v>3280.8166666666712</v>
      </c>
    </row>
    <row r="16" spans="1:14" ht="24" customHeight="1" x14ac:dyDescent="0.25">
      <c r="A16" s="26" t="s">
        <v>189</v>
      </c>
      <c r="B16" s="29">
        <v>1</v>
      </c>
      <c r="C16" s="29">
        <v>1</v>
      </c>
      <c r="D16" s="29">
        <v>2</v>
      </c>
      <c r="E16" s="29">
        <v>0</v>
      </c>
      <c r="F16" s="33">
        <v>400</v>
      </c>
      <c r="G16" s="34">
        <v>68.5</v>
      </c>
      <c r="H16" s="35" t="s">
        <v>216</v>
      </c>
      <c r="I16" s="29">
        <v>213</v>
      </c>
      <c r="J16" s="29">
        <v>0</v>
      </c>
      <c r="K16" s="29">
        <v>216</v>
      </c>
      <c r="L16" s="29">
        <v>1374.9000000000003</v>
      </c>
      <c r="M16" s="29">
        <v>0</v>
      </c>
      <c r="N16" s="29">
        <v>1394.9000000000003</v>
      </c>
    </row>
    <row r="17" spans="1:17" ht="22.5" customHeight="1" x14ac:dyDescent="0.25">
      <c r="A17" s="25" t="s">
        <v>189</v>
      </c>
      <c r="B17" s="29">
        <v>0</v>
      </c>
      <c r="C17" s="29">
        <v>2</v>
      </c>
      <c r="D17" s="29">
        <v>0</v>
      </c>
      <c r="E17" s="29">
        <v>2</v>
      </c>
      <c r="F17" s="33">
        <v>531</v>
      </c>
      <c r="G17" s="31">
        <v>68.5</v>
      </c>
      <c r="H17" s="32" t="s">
        <v>216</v>
      </c>
      <c r="I17" s="29">
        <v>1112</v>
      </c>
      <c r="J17" s="29">
        <v>0</v>
      </c>
      <c r="K17" s="29">
        <v>1114</v>
      </c>
      <c r="L17" s="29">
        <v>7151.6499999999814</v>
      </c>
      <c r="M17" s="29">
        <v>0</v>
      </c>
      <c r="N17" s="29">
        <v>7163.5666666666475</v>
      </c>
    </row>
    <row r="18" spans="1:17" ht="22.5" customHeight="1" x14ac:dyDescent="0.25">
      <c r="A18" s="25" t="s">
        <v>190</v>
      </c>
      <c r="B18" s="29">
        <v>0</v>
      </c>
      <c r="C18" s="29">
        <v>9</v>
      </c>
      <c r="D18" s="29">
        <v>0</v>
      </c>
      <c r="E18" s="29">
        <v>9</v>
      </c>
      <c r="F18" s="33">
        <v>180</v>
      </c>
      <c r="G18" s="31" t="s">
        <v>217</v>
      </c>
      <c r="H18" s="32" t="s">
        <v>218</v>
      </c>
      <c r="I18" s="29">
        <v>6825</v>
      </c>
      <c r="J18" s="29">
        <v>0</v>
      </c>
      <c r="K18" s="29">
        <v>6836</v>
      </c>
      <c r="L18" s="29">
        <v>14353.333333333285</v>
      </c>
      <c r="M18" s="29">
        <v>0</v>
      </c>
      <c r="N18" s="29">
        <v>14393.666666666619</v>
      </c>
    </row>
    <row r="19" spans="1:17" ht="22.5" customHeight="1" x14ac:dyDescent="0.25">
      <c r="A19" s="25" t="s">
        <v>197</v>
      </c>
      <c r="B19" s="29">
        <v>0</v>
      </c>
      <c r="C19" s="29">
        <v>1</v>
      </c>
      <c r="D19" s="29">
        <v>0</v>
      </c>
      <c r="E19" s="29">
        <v>1</v>
      </c>
      <c r="F19" s="29">
        <v>180</v>
      </c>
      <c r="G19" s="31" t="s">
        <v>217</v>
      </c>
      <c r="H19" s="32" t="s">
        <v>218</v>
      </c>
      <c r="I19" s="29">
        <v>1129</v>
      </c>
      <c r="J19" s="29">
        <v>0</v>
      </c>
      <c r="K19" s="29">
        <v>1138</v>
      </c>
      <c r="L19" s="29">
        <v>2441.683333333332</v>
      </c>
      <c r="M19" s="29">
        <v>0</v>
      </c>
      <c r="N19" s="29">
        <v>2481.6333333333318</v>
      </c>
      <c r="Q19" s="23" t="s">
        <v>0</v>
      </c>
    </row>
    <row r="20" spans="1:17" ht="22.5" customHeight="1" x14ac:dyDescent="0.25">
      <c r="A20" s="27" t="s">
        <v>53</v>
      </c>
      <c r="B20" s="44">
        <f>SUM(B7:B19)</f>
        <v>304</v>
      </c>
      <c r="C20" s="44">
        <f t="shared" ref="C20:E20" si="0">SUM(C7:C19)</f>
        <v>66</v>
      </c>
      <c r="D20" s="44">
        <f t="shared" si="0"/>
        <v>4</v>
      </c>
      <c r="E20" s="44">
        <f t="shared" si="0"/>
        <v>366</v>
      </c>
      <c r="F20" s="29"/>
      <c r="G20" s="45"/>
      <c r="H20" s="45"/>
      <c r="I20" s="44">
        <f>SUM(I7:I19)</f>
        <v>694714</v>
      </c>
      <c r="J20" s="44">
        <f t="shared" ref="J20:N20" si="1">SUM(J7:J19)</f>
        <v>3950</v>
      </c>
      <c r="K20" s="44">
        <f t="shared" si="1"/>
        <v>699357</v>
      </c>
      <c r="L20" s="44">
        <f t="shared" si="1"/>
        <v>1349442.1833333175</v>
      </c>
      <c r="M20" s="44">
        <f t="shared" si="1"/>
        <v>7159.5333333333383</v>
      </c>
      <c r="N20" s="44">
        <f t="shared" si="1"/>
        <v>1358318.7166666507</v>
      </c>
    </row>
    <row r="21" spans="1:17" ht="35.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7" ht="35.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7" ht="35.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</row>
    <row r="24" spans="1:17" ht="35.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</row>
    <row r="25" spans="1:17" ht="35.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1:17" ht="35.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7" ht="35.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</row>
    <row r="28" spans="1:17" ht="35.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</row>
    <row r="29" spans="1:17" ht="35.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</row>
    <row r="30" spans="1:17" ht="35.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</row>
    <row r="31" spans="1:17" ht="35.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</row>
    <row r="32" spans="1:17" ht="35.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</row>
    <row r="33" spans="1:14" ht="35.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</row>
    <row r="34" spans="1:14" ht="35.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4" ht="35.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</row>
    <row r="36" spans="1:14" ht="35.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</row>
  </sheetData>
  <mergeCells count="16">
    <mergeCell ref="A1:N1"/>
    <mergeCell ref="A2:N2"/>
    <mergeCell ref="A3:N3"/>
    <mergeCell ref="B4:E4"/>
    <mergeCell ref="F4:H4"/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I4:N4"/>
    <mergeCell ref="C5:C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2025-04-03T11:54:07Z</dcterms:modified>
</cp:coreProperties>
</file>