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IR INDIA EXPRESS\"/>
    </mc:Choice>
  </mc:AlternateContent>
  <bookViews>
    <workbookView xWindow="0" yWindow="0" windowWidth="24000" windowHeight="10725"/>
  </bookViews>
  <sheets>
    <sheet name="AIR INDIA EXPRESS" sheetId="3" r:id="rId1"/>
  </sheets>
  <definedNames>
    <definedName name="_xlnm.Print_Area" localSheetId="0">'AIR INDIA EXPRESS'!$A$1:$Q$20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3" l="1"/>
  <c r="Q14" i="3"/>
  <c r="O14" i="3"/>
  <c r="H14" i="3"/>
  <c r="B18" i="3" l="1"/>
  <c r="C18" i="3" l="1"/>
  <c r="D18" i="3"/>
  <c r="E18" i="3"/>
  <c r="F18" i="3"/>
  <c r="G18" i="3"/>
  <c r="H18" i="3"/>
  <c r="L18" i="3"/>
  <c r="O18" i="3"/>
  <c r="P18" i="3"/>
  <c r="Q18" i="3"/>
  <c r="Q17" i="3"/>
  <c r="P17" i="3"/>
  <c r="O17" i="3"/>
  <c r="L17" i="3"/>
  <c r="H17" i="3"/>
  <c r="G17" i="3"/>
  <c r="F17" i="3"/>
  <c r="E17" i="3"/>
  <c r="D17" i="3"/>
  <c r="C17" i="3"/>
  <c r="B17" i="3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<sst xmlns="http://schemas.openxmlformats.org/spreadsheetml/2006/main" count="39" uniqueCount="37">
  <si>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</si>
  <si>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</si>
  <si>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</si>
  <si>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</si>
  <si>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</si>
  <si>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</si>
  <si>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</si>
  <si>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</si>
  <si>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</si>
  <si>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</si>
  <si>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</si>
  <si>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</si>
  <si>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</si>
  <si>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</si>
  <si>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</si>
  <si>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</si>
  <si>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</si>
  <si>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</si>
  <si>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</si>
  <si>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</si>
  <si>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</si>
  <si>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</si>
  <si>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</si>
  <si>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</si>
  <si>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</si>
  <si>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 </t>
  </si>
  <si>
    <t>2019-20</t>
  </si>
  <si>
    <t xml:space="preserve">YEAR ON YEAR GROWTH AND CAGR FOR LAST TEN YEARS OF AIR INDIA EXPRESS ON SCHEDULED DOMESTIC SERVICES (ALL AIR TRAFFIC AND OPERATING STATISTICS) </t>
  </si>
  <si>
    <t>2020-21</t>
  </si>
  <si>
    <t>2021-22</t>
  </si>
  <si>
    <t>तालिका 1.04 एयर इंडिया एक्सप्रेस (राष्ट्रीय)</t>
  </si>
  <si>
    <t>2022-23</t>
  </si>
  <si>
    <t>Table 1.04  AIR INDIA EXPRESS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</si>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</sst>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6">
    <xf numFmtId="0" fontId="0" fillId="0" borderId="0" xfId="0"/>
    <xf numFmtId="0" fontId="3" fillId="4" borderId="1" xfId="2" applyFont="1" applyBorder="1" applyAlignment="1" applyProtection="1">
      <alignment horizontal="center" vertical="center" textRotation="90"/>
    </xf>
    <xf numFmtId="164" fontId="4" fillId="5" borderId="1" xfId="4" applyNumberFormat="1" applyFill="1" applyBorder="1" applyAlignment="1" applyProtection="1">
      <alignment horizontal="center" vertical="center"/>
    </xf>
    <xf numFmtId="164" fontId="3" fillId="2" borderId="1" xfId="4" applyNumberFormat="1" applyFont="1" applyFill="1" applyBorder="1" applyAlignment="1" applyProtection="1">
      <alignment horizontal="center" vertical="center"/>
    </xf>
    <xf numFmtId="9" fontId="4" fillId="5" borderId="1" xfId="4" applyNumberFormat="1" applyFill="1" applyBorder="1" applyAlignment="1" applyProtection="1">
      <alignment horizontal="center" vertical="center"/>
    </xf>
    <xf numFmtId="165" fontId="4" fillId="6" borderId="1" xfId="6" applyNumberFormat="1" applyFont="1" applyBorder="1" applyAlignment="1" applyProtection="1">
      <alignment horizontal="center" vertical="center"/>
    </xf>
    <xf numFmtId="166" fontId="4" fillId="6" borderId="1" xfId="6" applyNumberFormat="1" applyBorder="1" applyAlignment="1">
      <alignment horizontal="right" vertical="center"/>
    </xf>
    <xf numFmtId="167" fontId="4" fillId="6" borderId="1" xfId="6" applyNumberFormat="1" applyBorder="1" applyAlignment="1">
      <alignment horizontal="right" vertical="center"/>
    </xf>
    <xf numFmtId="43" fontId="4" fillId="6" borderId="1" xfId="6" applyNumberFormat="1" applyBorder="1" applyAlignment="1">
      <alignment horizontal="right" vertical="center"/>
    </xf>
    <xf numFmtId="165" fontId="4" fillId="7" borderId="1" xfId="6" applyNumberFormat="1" applyFont="1" applyFill="1" applyBorder="1" applyAlignment="1" applyProtection="1">
      <alignment horizontal="center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43" fontId="0" fillId="0" borderId="1" xfId="5" applyNumberFormat="1" applyFont="1" applyBorder="1" applyAlignment="1">
      <alignment horizontal="right" vertical="center"/>
    </xf>
    <xf numFmtId="0" fontId="0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/>
    </xf>
    <xf numFmtId="0" fontId="3" fillId="3" borderId="1" xfId="1" quotePrefix="1" applyFont="1" applyBorder="1" applyAlignment="1" applyProtection="1">
      <alignment horizontal="center" vertical="center"/>
    </xf>
    <xf numFmtId="0" fontId="3" fillId="3" borderId="1" xfId="1" applyFont="1" applyBorder="1" applyAlignment="1"/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A4" zoomScale="115" zoomScaleNormal="100" zoomScaleSheetLayoutView="115" workbookViewId="0">
      <selection activeCell="J12" sqref="J12"/>
    </sheetView>
  </sheetViews>
  <sheetFormatPr defaultRowHeight="15" x14ac:dyDescent="0.25"/>
  <cols>
    <col min="1" max="1" width="11.7109375" customWidth="1"/>
    <col min="2" max="2" width="11.140625" customWidth="1"/>
    <col min="3" max="3" width="9.85546875" customWidth="1"/>
    <col min="4" max="4" width="9.5703125" customWidth="1"/>
    <col min="5" max="5" width="11.28515625" customWidth="1"/>
    <col min="6" max="6" width="9.85546875" customWidth="1"/>
    <col min="7" max="7" width="9.7109375" customWidth="1"/>
    <col min="8" max="8" width="8.42578125" customWidth="1"/>
    <col min="9" max="9" width="8.85546875" customWidth="1"/>
    <col min="10" max="10" width="9.5703125" customWidth="1"/>
    <col min="11" max="11" width="9.42578125" customWidth="1"/>
    <col min="12" max="12" width="10.85546875" customWidth="1"/>
    <col min="13" max="14" width="8.85546875" customWidth="1"/>
    <col min="15" max="15" width="10.140625" customWidth="1"/>
    <col min="16" max="16" width="10" customWidth="1"/>
    <col min="17" max="17" width="8.140625" customWidth="1"/>
  </cols>
  <sheetData>
    <row r="1" spans="1:17" ht="15" customHeight="1" x14ac:dyDescent="0.25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32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27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.6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14.75" customHeight="1" x14ac:dyDescent="0.25">
      <c r="A5" s="24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8"/>
      <c r="H5" s="18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8"/>
      <c r="Q5" s="18"/>
    </row>
    <row r="6" spans="1:17" ht="16.5" customHeight="1" x14ac:dyDescent="0.25">
      <c r="A6" s="5" t="s">
        <v>19</v>
      </c>
      <c r="B6" s="6">
        <v>2538</v>
      </c>
      <c r="C6" s="6">
        <v>4314</v>
      </c>
      <c r="D6" s="6">
        <v>2108.1990000000001</v>
      </c>
      <c r="E6" s="6">
        <v>354640</v>
      </c>
      <c r="F6" s="6">
        <v>292.246624</v>
      </c>
      <c r="G6" s="6">
        <v>392.17998</v>
      </c>
      <c r="H6" s="7">
        <v>74.518496329159888</v>
      </c>
      <c r="I6" s="7">
        <v>0</v>
      </c>
      <c r="J6" s="7">
        <v>0</v>
      </c>
      <c r="K6" s="7">
        <v>0</v>
      </c>
      <c r="L6" s="7">
        <v>28.353575005850356</v>
      </c>
      <c r="M6" s="7">
        <v>0</v>
      </c>
      <c r="N6" s="7">
        <v>0</v>
      </c>
      <c r="O6" s="8">
        <v>28.353575005850356</v>
      </c>
      <c r="P6" s="7">
        <v>40.33931254062621</v>
      </c>
      <c r="Q6" s="7">
        <v>70.287700062550968</v>
      </c>
    </row>
    <row r="7" spans="1:17" ht="16.5" customHeight="1" x14ac:dyDescent="0.25">
      <c r="A7" s="9" t="s">
        <v>20</v>
      </c>
      <c r="B7" s="10">
        <v>1217</v>
      </c>
      <c r="C7" s="10">
        <v>1689</v>
      </c>
      <c r="D7" s="10">
        <v>858</v>
      </c>
      <c r="E7" s="10">
        <v>191095</v>
      </c>
      <c r="F7" s="10">
        <v>113.798</v>
      </c>
      <c r="G7" s="10">
        <v>154.88</v>
      </c>
      <c r="H7" s="11">
        <v>73.474948347107443</v>
      </c>
      <c r="I7" s="11">
        <v>0</v>
      </c>
      <c r="J7" s="11">
        <v>0</v>
      </c>
      <c r="K7" s="11">
        <v>0</v>
      </c>
      <c r="L7" s="11">
        <v>14.44186</v>
      </c>
      <c r="M7" s="11">
        <v>0.13560999999999998</v>
      </c>
      <c r="N7" s="11">
        <v>0.47</v>
      </c>
      <c r="O7" s="12">
        <v>14.57794</v>
      </c>
      <c r="P7" s="11">
        <v>24.274489999999997</v>
      </c>
      <c r="Q7" s="11">
        <v>60.054567572789388</v>
      </c>
    </row>
    <row r="8" spans="1:17" ht="16.5" customHeight="1" x14ac:dyDescent="0.25">
      <c r="A8" s="5" t="s">
        <v>21</v>
      </c>
      <c r="B8" s="6">
        <v>934</v>
      </c>
      <c r="C8" s="6">
        <v>1355.7299999999998</v>
      </c>
      <c r="D8" s="6">
        <v>585</v>
      </c>
      <c r="E8" s="6">
        <v>149217</v>
      </c>
      <c r="F8" s="6">
        <v>82.495000000000005</v>
      </c>
      <c r="G8" s="6">
        <v>108.44199999999999</v>
      </c>
      <c r="H8" s="7">
        <v>76.072923774921165</v>
      </c>
      <c r="I8" s="7">
        <v>238.89</v>
      </c>
      <c r="J8" s="7">
        <v>0.21600000000000003</v>
      </c>
      <c r="K8" s="7">
        <v>239.10599999999999</v>
      </c>
      <c r="L8" s="7">
        <v>8.781699999999999</v>
      </c>
      <c r="M8" s="7">
        <v>9.1990000000000002E-2</v>
      </c>
      <c r="N8" s="7">
        <v>0.10011</v>
      </c>
      <c r="O8" s="8">
        <v>8.873899999999999</v>
      </c>
      <c r="P8" s="7">
        <v>14.021330000000001</v>
      </c>
      <c r="Q8" s="7">
        <v>63.288575334864795</v>
      </c>
    </row>
    <row r="9" spans="1:17" ht="16.5" customHeight="1" x14ac:dyDescent="0.25">
      <c r="A9" s="9" t="s">
        <v>22</v>
      </c>
      <c r="B9" s="10">
        <v>2005</v>
      </c>
      <c r="C9" s="10">
        <v>1748</v>
      </c>
      <c r="D9" s="10">
        <v>555.58000000000004</v>
      </c>
      <c r="E9" s="10">
        <v>110881</v>
      </c>
      <c r="F9" s="10">
        <v>61.255130000000001</v>
      </c>
      <c r="G9" s="10">
        <v>103.33177000000001</v>
      </c>
      <c r="H9" s="11">
        <v>59.280054914379186</v>
      </c>
      <c r="I9" s="11">
        <v>578.92999999999995</v>
      </c>
      <c r="J9" s="11">
        <v>0.18</v>
      </c>
      <c r="K9" s="11">
        <v>579.11000000000013</v>
      </c>
      <c r="L9" s="11">
        <v>5.0558699999999996</v>
      </c>
      <c r="M9" s="11">
        <v>7.4339999999999989E-2</v>
      </c>
      <c r="N9" s="11">
        <v>1.0999999999999999E-4</v>
      </c>
      <c r="O9" s="12">
        <v>5.1303199999999993</v>
      </c>
      <c r="P9" s="11">
        <v>9.630390000000002</v>
      </c>
      <c r="Q9" s="11">
        <v>53.272193545640398</v>
      </c>
    </row>
    <row r="10" spans="1:17" ht="16.5" customHeight="1" x14ac:dyDescent="0.25">
      <c r="A10" s="5" t="s">
        <v>23</v>
      </c>
      <c r="B10" s="6">
        <v>2240</v>
      </c>
      <c r="C10" s="6">
        <v>2903.8</v>
      </c>
      <c r="D10" s="6">
        <v>1264.18</v>
      </c>
      <c r="E10" s="6">
        <v>130787</v>
      </c>
      <c r="F10" s="6">
        <v>142.679923</v>
      </c>
      <c r="G10" s="6">
        <v>235.13674000000003</v>
      </c>
      <c r="H10" s="7">
        <v>60.679553097487016</v>
      </c>
      <c r="I10" s="7">
        <v>602.35</v>
      </c>
      <c r="J10" s="7">
        <v>0.18099999999999999</v>
      </c>
      <c r="K10" s="7">
        <v>602.53099999999995</v>
      </c>
      <c r="L10" s="7">
        <v>13.485059999999999</v>
      </c>
      <c r="M10" s="7">
        <v>0.12964000000000001</v>
      </c>
      <c r="N10" s="7">
        <v>3.5009999999999994E-4</v>
      </c>
      <c r="O10" s="8">
        <v>13.615050100000001</v>
      </c>
      <c r="P10" s="7">
        <v>25.340650000000004</v>
      </c>
      <c r="Q10" s="7">
        <v>53.728101291797955</v>
      </c>
    </row>
    <row r="11" spans="1:17" ht="16.5" customHeight="1" x14ac:dyDescent="0.25">
      <c r="A11" s="9" t="s">
        <v>24</v>
      </c>
      <c r="B11" s="10">
        <v>3092</v>
      </c>
      <c r="C11" s="10">
        <v>4765.74</v>
      </c>
      <c r="D11" s="10">
        <v>2227.3220000000001</v>
      </c>
      <c r="E11" s="10">
        <v>194080</v>
      </c>
      <c r="F11" s="10">
        <v>265.73710299999999</v>
      </c>
      <c r="G11" s="10">
        <v>414.28162600000007</v>
      </c>
      <c r="H11" s="11">
        <v>64.144071646566331</v>
      </c>
      <c r="I11" s="11">
        <v>434.53500000000003</v>
      </c>
      <c r="J11" s="11">
        <v>0.20699999999999999</v>
      </c>
      <c r="K11" s="11">
        <v>434.74199999999996</v>
      </c>
      <c r="L11" s="11">
        <v>21.119583132999999</v>
      </c>
      <c r="M11" s="11">
        <v>0.122007768</v>
      </c>
      <c r="N11" s="11">
        <v>6.6936600000000001E-4</v>
      </c>
      <c r="O11" s="12">
        <v>21.241849667</v>
      </c>
      <c r="P11" s="11">
        <v>38.793933605999996</v>
      </c>
      <c r="Q11" s="11">
        <v>54.755596281462594</v>
      </c>
    </row>
    <row r="12" spans="1:17" ht="16.5" customHeight="1" x14ac:dyDescent="0.25">
      <c r="A12" s="5" t="s">
        <v>26</v>
      </c>
      <c r="B12" s="6">
        <v>3299</v>
      </c>
      <c r="C12" s="6">
        <v>4905.7</v>
      </c>
      <c r="D12" s="6">
        <v>2503.732</v>
      </c>
      <c r="E12" s="6">
        <v>177292</v>
      </c>
      <c r="F12" s="6">
        <v>269.783614</v>
      </c>
      <c r="G12" s="6">
        <v>436.67741199999995</v>
      </c>
      <c r="H12" s="7">
        <v>61.780986739016406</v>
      </c>
      <c r="I12" s="7">
        <v>843.56000000000006</v>
      </c>
      <c r="J12" s="7">
        <v>0.14000000000000001</v>
      </c>
      <c r="K12" s="7">
        <v>843.7</v>
      </c>
      <c r="L12" s="7">
        <v>22.292352421000004</v>
      </c>
      <c r="M12" s="7">
        <v>0.25577399599999995</v>
      </c>
      <c r="N12" s="7">
        <v>2.7480199999999999E-4</v>
      </c>
      <c r="O12" s="8">
        <v>22.548401218999999</v>
      </c>
      <c r="P12" s="7">
        <v>37.128391248</v>
      </c>
      <c r="Q12" s="7">
        <f>O12/P12*100</f>
        <v>60.73088669096218</v>
      </c>
    </row>
    <row r="13" spans="1:17" ht="16.5" customHeight="1" x14ac:dyDescent="0.25">
      <c r="A13" s="9" t="s">
        <v>28</v>
      </c>
      <c r="B13" s="10">
        <v>451</v>
      </c>
      <c r="C13" s="10">
        <v>1183.05</v>
      </c>
      <c r="D13" s="10">
        <v>680.08318279569892</v>
      </c>
      <c r="E13" s="10">
        <v>22754</v>
      </c>
      <c r="F13" s="10">
        <v>38.400376999999992</v>
      </c>
      <c r="G13" s="10">
        <v>134.247908</v>
      </c>
      <c r="H13" s="11">
        <v>28.604078508247589</v>
      </c>
      <c r="I13" s="11">
        <v>149.26500000000001</v>
      </c>
      <c r="J13" s="11">
        <v>0.105</v>
      </c>
      <c r="K13" s="11">
        <v>149.37</v>
      </c>
      <c r="L13" s="11">
        <v>3.7687963099999999</v>
      </c>
      <c r="M13" s="11">
        <v>0.26917106099999993</v>
      </c>
      <c r="N13" s="11">
        <v>2.0370000000000002E-4</v>
      </c>
      <c r="O13" s="12">
        <v>4.0381710709999998</v>
      </c>
      <c r="P13" s="11">
        <v>4.7572154139999991</v>
      </c>
      <c r="Q13" s="11">
        <v>84.885184284825002</v>
      </c>
    </row>
    <row r="14" spans="1:17" ht="16.5" customHeight="1" x14ac:dyDescent="0.25">
      <c r="A14" s="5" t="s">
        <v>29</v>
      </c>
      <c r="B14" s="6">
        <v>190</v>
      </c>
      <c r="C14" s="6">
        <v>500.29</v>
      </c>
      <c r="D14" s="6">
        <v>287.93599999999998</v>
      </c>
      <c r="E14" s="6">
        <v>17893</v>
      </c>
      <c r="F14" s="6">
        <v>27.012775999999999</v>
      </c>
      <c r="G14" s="6">
        <v>53.556095999999997</v>
      </c>
      <c r="H14" s="7">
        <f>F14/G14*100</f>
        <v>50.4382843738274</v>
      </c>
      <c r="I14" s="7">
        <v>42.361999999999995</v>
      </c>
      <c r="J14" s="7">
        <v>3.2440000000000002</v>
      </c>
      <c r="K14" s="7">
        <v>45.606000000000002</v>
      </c>
      <c r="L14" s="7">
        <v>1.9802184570000001</v>
      </c>
      <c r="M14" s="7">
        <v>8.2153403999999999E-2</v>
      </c>
      <c r="N14" s="7">
        <v>6.2933600000000004E-3</v>
      </c>
      <c r="O14" s="8">
        <f>SUM(L14:N14)</f>
        <v>2.0686652209999998</v>
      </c>
      <c r="P14" s="7">
        <v>2.4402762519999999</v>
      </c>
      <c r="Q14" s="7">
        <f>O14/P14*100</f>
        <v>84.771763824057416</v>
      </c>
    </row>
    <row r="15" spans="1:17" ht="16.5" customHeight="1" x14ac:dyDescent="0.25">
      <c r="A15" s="9" t="s">
        <v>31</v>
      </c>
      <c r="B15" s="10">
        <v>82</v>
      </c>
      <c r="C15" s="10">
        <v>128.50656666666669</v>
      </c>
      <c r="D15" s="10">
        <v>58.384</v>
      </c>
      <c r="E15" s="10">
        <v>8483</v>
      </c>
      <c r="F15" s="10">
        <v>6.0000239999999998</v>
      </c>
      <c r="G15" s="10">
        <v>10.859424000000001</v>
      </c>
      <c r="H15" s="11">
        <v>55.251770259638079</v>
      </c>
      <c r="I15" s="11"/>
      <c r="J15" s="11"/>
      <c r="K15" s="11"/>
      <c r="L15" s="11">
        <v>0.34453466399999999</v>
      </c>
      <c r="M15" s="11"/>
      <c r="N15" s="11"/>
      <c r="O15" s="12">
        <v>0.34453466399999999</v>
      </c>
      <c r="P15" s="11">
        <v>0.43136377599999998</v>
      </c>
      <c r="Q15" s="11">
        <v>85.240869414125314</v>
      </c>
    </row>
    <row r="16" spans="1:17" ht="16.5" customHeight="1" x14ac:dyDescent="0.25">
      <c r="A16" s="5" t="s">
        <v>33</v>
      </c>
      <c r="B16" s="6">
        <v>9693</v>
      </c>
      <c r="C16" s="6">
        <v>17267.603333333336</v>
      </c>
      <c r="D16" s="6">
        <v>7604.1196299999992</v>
      </c>
      <c r="E16" s="6">
        <v>1364335</v>
      </c>
      <c r="F16" s="6">
        <v>1246.3222616</v>
      </c>
      <c r="G16" s="6">
        <v>1530.6629361999999</v>
      </c>
      <c r="H16" s="7">
        <v>81.423691142224968</v>
      </c>
      <c r="I16" s="7">
        <v>1911.4145000000003</v>
      </c>
      <c r="J16" s="7"/>
      <c r="K16" s="7">
        <v>1911.4145000000003</v>
      </c>
      <c r="L16" s="7">
        <v>85.06917257500001</v>
      </c>
      <c r="M16" s="7">
        <v>1.4984132570000002</v>
      </c>
      <c r="N16" s="7"/>
      <c r="O16" s="8">
        <v>86.567585832000006</v>
      </c>
      <c r="P16" s="7">
        <v>160.96612963999999</v>
      </c>
      <c r="Q16" s="7">
        <v>53.780000814834786</v>
      </c>
    </row>
    <row r="17" spans="1:17" ht="24" customHeight="1" x14ac:dyDescent="0.25">
      <c r="A17" s="13" t="s">
        <v>34</v>
      </c>
      <c r="B17" s="2">
        <f t="shared" ref="B17:H17" si="0">(B16-B15)/B15</f>
        <v>117.20731707317073</v>
      </c>
      <c r="C17" s="2">
        <f t="shared" si="0"/>
        <v>133.37136934895935</v>
      </c>
      <c r="D17" s="2">
        <f t="shared" si="0"/>
        <v>129.24321098246094</v>
      </c>
      <c r="E17" s="2">
        <f t="shared" si="0"/>
        <v>159.83166332665331</v>
      </c>
      <c r="F17" s="2">
        <f t="shared" si="0"/>
        <v>206.71954605514912</v>
      </c>
      <c r="G17" s="2">
        <f t="shared" si="0"/>
        <v>139.95249768311834</v>
      </c>
      <c r="H17" s="2">
        <f t="shared" si="0"/>
        <v>0.47368474819178263</v>
      </c>
      <c r="I17" s="2"/>
      <c r="J17" s="4"/>
      <c r="K17" s="2"/>
      <c r="L17" s="2">
        <f>(L16-L15)/L15</f>
        <v>245.9103444842346</v>
      </c>
      <c r="M17" s="2"/>
      <c r="N17" s="2"/>
      <c r="O17" s="2">
        <f>(O16-O15)/O15</f>
        <v>250.25943737260647</v>
      </c>
      <c r="P17" s="2">
        <f>(P16-P15)/P15</f>
        <v>372.15634412473241</v>
      </c>
      <c r="Q17" s="2">
        <f>(Q16-Q15)/Q15</f>
        <v>-0.36908197693813211</v>
      </c>
    </row>
    <row r="18" spans="1:17" ht="30" customHeight="1" x14ac:dyDescent="0.25">
      <c r="A18" s="14" t="s">
        <v>35</v>
      </c>
      <c r="B18" s="3">
        <f t="shared" ref="B18:H18" si="1">(((B16/B6)^(1/10))-1)</f>
        <v>0.1433959761241792</v>
      </c>
      <c r="C18" s="3">
        <f t="shared" si="1"/>
        <v>0.1487755727675697</v>
      </c>
      <c r="D18" s="3">
        <f t="shared" si="1"/>
        <v>0.13687766320199657</v>
      </c>
      <c r="E18" s="3">
        <f t="shared" si="1"/>
        <v>0.14423000022591315</v>
      </c>
      <c r="F18" s="3">
        <f t="shared" si="1"/>
        <v>0.15608052419148177</v>
      </c>
      <c r="G18" s="3">
        <f t="shared" si="1"/>
        <v>0.14588072619281478</v>
      </c>
      <c r="H18" s="3">
        <f t="shared" si="1"/>
        <v>8.9012737237983419E-3</v>
      </c>
      <c r="I18" s="3"/>
      <c r="J18" s="3"/>
      <c r="K18" s="3"/>
      <c r="L18" s="3">
        <f>(((L16/L6)^(1/10))-1)</f>
        <v>0.1161342579898581</v>
      </c>
      <c r="M18" s="3"/>
      <c r="N18" s="3"/>
      <c r="O18" s="3">
        <f>(((O16/O6)^(1/10))-1)</f>
        <v>0.11808481200216159</v>
      </c>
      <c r="P18" s="3">
        <f>(((P16/P6)^(1/10))-1)</f>
        <v>0.14841961306493068</v>
      </c>
      <c r="Q18" s="3">
        <f>(((Q16/Q6)^(1/10))-1)</f>
        <v>-2.6414387840182241E-2</v>
      </c>
    </row>
    <row r="19" spans="1:17" x14ac:dyDescent="0.25">
      <c r="A19" s="19" t="s">
        <v>25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8" customHeight="1" x14ac:dyDescent="0.25">
      <c r="A20" s="15" t="s">
        <v>36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ignoredErrors>
    <ignoredError sqref="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2022-12-09T07:11:23Z</cp:lastPrinted>
  <dcterms:created xsi:type="dcterms:W3CDTF">2018-10-29T04:00:14Z</dcterms:created>
  <dcterms:modified xsi:type="dcterms:W3CDTF">2025-01-24T09:03:55Z</dcterms:modified>
</cp:coreProperties>
</file>