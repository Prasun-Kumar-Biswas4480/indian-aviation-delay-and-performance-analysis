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K17" i="1" l="1"/>
  <c r="N17" i="1"/>
  <c r="M17" i="1"/>
  <c r="J17" i="1"/>
  <c r="I17" i="1"/>
  <c r="Q18" i="1"/>
  <c r="P18" i="1"/>
  <c r="O18" i="1"/>
  <c r="L18" i="1"/>
  <c r="H18" i="1"/>
  <c r="G18" i="1"/>
  <c r="F18" i="1"/>
  <c r="E18" i="1"/>
  <c r="D18" i="1"/>
  <c r="C18" i="1"/>
  <c r="B18" i="1"/>
  <c r="Q17" i="1"/>
  <c r="P17" i="1"/>
  <c r="O17" i="1"/>
  <c r="L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<sst xmlns="http://schemas.openxmlformats.org/spreadsheetml/2006/main" count="40" uniqueCount="38">
  <si>
    <t xml:space="preserve">तालिका - 1.05 (एयर इंडिया एक्सप्रेस) </t>
  </si>
  <si>
    <t>TABLE - 1.05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</si>
  <si>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</si>
  <si>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</si>
  <si>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</si>
  <si>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</si>
  <si>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</si>
  <si>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</si>
  <si>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</si>
  <si>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</si>
  <si>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</si>
  <si>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</si>
  <si>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</si>
  <si>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</si>
  <si>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</si>
  <si>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</si>
  <si>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</si>
  <si>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</si>
  <si>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</si>
  <si>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</si>
  <si>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</si>
  <si>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</si>
  <si>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</si>
  <si>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</si>
  <si>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</si>
  <si>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</si>
  <si>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</si>
  <si>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SOURCE: ICAO ATR FORM 'A' FURNISHED BY AIR INDIA EXPRESS</t>
  </si>
  <si>
    <t>2019-20</t>
  </si>
  <si>
    <t>YEAR ON YEAR GROWTH AND CAGR FOR LAST TEN YEARS OFAIR INDIA EXPRESS ON SCHEDULED INTERNATIONAL SERVICES (ALL AIR TRAFFIC AND OPERATING STATISTICS)</t>
  </si>
  <si>
    <t>2020-21*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</si>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</sst>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3" applyFont="1" applyBorder="1" applyAlignment="1" applyProtection="1">
      <alignment horizontal="center" vertical="center" wrapText="1"/>
    </xf>
    <xf numFmtId="165" fontId="4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4" fontId="0" fillId="0" borderId="0" xfId="0" applyNumberFormat="1"/>
    <xf numFmtId="0" fontId="7" fillId="2" borderId="1" xfId="2" applyFont="1" applyBorder="1" applyAlignment="1" applyProtection="1">
      <alignment horizontal="center" vertical="center" textRotation="90" wrapText="1"/>
    </xf>
    <xf numFmtId="3" fontId="0" fillId="0" borderId="0" xfId="0" applyNumberFormat="1"/>
    <xf numFmtId="166" fontId="1" fillId="4" borderId="1" xfId="4" applyNumberFormat="1" applyBorder="1" applyAlignment="1" applyProtection="1">
      <alignment horizontal="center" vertical="center"/>
    </xf>
    <xf numFmtId="167" fontId="1" fillId="4" borderId="1" xfId="4" applyNumberFormat="1" applyBorder="1" applyAlignment="1">
      <alignment horizontal="right" vertical="center"/>
    </xf>
    <xf numFmtId="168" fontId="1" fillId="4" borderId="1" xfId="4" applyNumberFormat="1" applyBorder="1" applyAlignment="1">
      <alignment horizontal="right" vertical="center"/>
    </xf>
    <xf numFmtId="43" fontId="0" fillId="4" borderId="1" xfId="4" applyNumberFormat="1" applyFont="1" applyBorder="1" applyAlignment="1">
      <alignment horizontal="right" vertical="center"/>
    </xf>
    <xf numFmtId="166" fontId="7" fillId="6" borderId="1" xfId="0" applyNumberFormat="1" applyFont="1" applyFill="1" applyBorder="1" applyAlignment="1" applyProtection="1">
      <alignment horizontal="center" vertical="center"/>
    </xf>
    <xf numFmtId="167" fontId="8" fillId="0" borderId="1" xfId="5" applyNumberFormat="1" applyFont="1" applyFill="1" applyBorder="1" applyAlignment="1">
      <alignment horizontal="right" vertical="center"/>
    </xf>
    <xf numFmtId="168" fontId="8" fillId="0" borderId="1" xfId="5" applyNumberFormat="1" applyFont="1" applyFill="1" applyBorder="1" applyAlignment="1">
      <alignment horizontal="right" vertical="center"/>
    </xf>
    <xf numFmtId="43" fontId="8" fillId="0" borderId="1" xfId="5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66" fontId="0" fillId="4" borderId="1" xfId="4" applyNumberFormat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left" wrapText="1"/>
    </xf>
    <xf numFmtId="0" fontId="7" fillId="2" borderId="1" xfId="2" applyFont="1" applyBorder="1" applyAlignment="1" applyProtection="1">
      <alignment horizontal="center" vertical="center" textRotation="90" wrapText="1"/>
    </xf>
    <xf numFmtId="0" fontId="7" fillId="2" borderId="1" xfId="2" applyFont="1" applyBorder="1" applyAlignment="1">
      <alignment textRotation="90"/>
    </xf>
    <xf numFmtId="0" fontId="6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4" borderId="1" xfId="4" applyFont="1" applyBorder="1" applyAlignment="1">
      <alignment horizontal="center" vertical="center" wrapText="1"/>
    </xf>
    <xf numFmtId="0" fontId="7" fillId="4" borderId="1" xfId="4" quotePrefix="1" applyFont="1" applyBorder="1" applyAlignment="1" applyProtection="1">
      <alignment horizontal="center" vertical="center" wrapText="1"/>
    </xf>
    <xf numFmtId="0" fontId="7" fillId="4" borderId="1" xfId="4" applyFont="1" applyBorder="1"/>
    <xf numFmtId="0" fontId="7" fillId="2" borderId="1" xfId="2" applyFont="1" applyBorder="1" applyAlignment="1" applyProtection="1">
      <alignment horizontal="center" vertical="center" wrapText="1"/>
    </xf>
    <xf numFmtId="0" fontId="7" fillId="2" borderId="1" xfId="2" applyFont="1" applyBorder="1"/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Views>
    <sheetView tabSelected="1" view="pageBreakPreview" topLeftCell="A7" zoomScale="115" zoomScaleNormal="100" zoomScaleSheetLayoutView="115" workbookViewId="0">
      <selection activeCell="B14" sqref="B14:Q14"/>
    </sheetView>
  </sheetViews>
  <sheetFormatPr defaultRowHeight="15" x14ac:dyDescent="0.25"/>
  <cols>
    <col min="1" max="1" width="12.28515625" customWidth="1"/>
    <col min="2" max="2" width="9.42578125" customWidth="1"/>
    <col min="3" max="4" width="9.28515625" customWidth="1"/>
    <col min="5" max="5" width="11.42578125" customWidth="1"/>
    <col min="6" max="6" width="9.7109375" customWidth="1"/>
    <col min="7" max="7" width="8.7109375" customWidth="1"/>
    <col min="8" max="8" width="6.42578125" customWidth="1"/>
    <col min="9" max="9" width="10.7109375" customWidth="1"/>
    <col min="10" max="10" width="9.140625" customWidth="1"/>
    <col min="11" max="11" width="11.5703125" customWidth="1"/>
    <col min="12" max="12" width="9.7109375" customWidth="1"/>
    <col min="13" max="13" width="9.5703125" customWidth="1"/>
    <col min="14" max="14" width="9.42578125" customWidth="1"/>
    <col min="15" max="15" width="9" customWidth="1"/>
    <col min="16" max="16" width="9.140625" customWidth="1"/>
    <col min="17" max="17" width="7.85546875" customWidth="1"/>
  </cols>
  <sheetData>
    <row r="1" spans="1:3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35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35" x14ac:dyDescent="0.25">
      <c r="A3" s="27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35" x14ac:dyDescent="0.25">
      <c r="A4" s="27" t="s">
        <v>2</v>
      </c>
      <c r="B4" s="27" t="s">
        <v>3</v>
      </c>
      <c r="C4" s="27"/>
      <c r="D4" s="27"/>
      <c r="E4" s="27" t="s">
        <v>4</v>
      </c>
      <c r="F4" s="28"/>
      <c r="G4" s="18" t="s">
        <v>5</v>
      </c>
      <c r="H4" s="18" t="s">
        <v>6</v>
      </c>
      <c r="I4" s="27" t="s">
        <v>7</v>
      </c>
      <c r="J4" s="27"/>
      <c r="K4" s="27"/>
      <c r="L4" s="27" t="s">
        <v>8</v>
      </c>
      <c r="M4" s="27"/>
      <c r="N4" s="27"/>
      <c r="O4" s="27"/>
      <c r="P4" s="18" t="s">
        <v>9</v>
      </c>
      <c r="Q4" s="18" t="s">
        <v>10</v>
      </c>
    </row>
    <row r="5" spans="1:35" ht="117" customHeight="1" x14ac:dyDescent="0.25">
      <c r="A5" s="27"/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19"/>
      <c r="H5" s="19"/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17</v>
      </c>
      <c r="O5" s="5" t="s">
        <v>18</v>
      </c>
      <c r="P5" s="19"/>
      <c r="Q5" s="19"/>
    </row>
    <row r="6" spans="1:35" ht="17.100000000000001" customHeight="1" x14ac:dyDescent="0.25">
      <c r="A6" s="7" t="s">
        <v>21</v>
      </c>
      <c r="B6" s="8">
        <v>18351</v>
      </c>
      <c r="C6" s="8">
        <v>62969</v>
      </c>
      <c r="D6" s="8">
        <v>41546.472000000002</v>
      </c>
      <c r="E6" s="8">
        <v>2313553</v>
      </c>
      <c r="F6" s="8">
        <v>6104.0542660000001</v>
      </c>
      <c r="G6" s="8">
        <v>7727.6587679999993</v>
      </c>
      <c r="H6" s="9">
        <f t="shared" ref="H6:H16" si="0">F6/G6*100</f>
        <v>78.989697258330082</v>
      </c>
      <c r="I6" s="9"/>
      <c r="J6" s="9"/>
      <c r="K6" s="9"/>
      <c r="L6" s="9">
        <v>592.09699046139201</v>
      </c>
      <c r="M6" s="9">
        <v>0</v>
      </c>
      <c r="N6" s="10">
        <v>0</v>
      </c>
      <c r="O6" s="9">
        <v>592.09699046139201</v>
      </c>
      <c r="P6" s="9">
        <v>802.65461942018783</v>
      </c>
      <c r="Q6" s="9">
        <f t="shared" ref="Q6:Q16" si="1">O6/P6*100</f>
        <v>73.767343529288354</v>
      </c>
    </row>
    <row r="7" spans="1:35" ht="17.100000000000001" customHeight="1" x14ac:dyDescent="0.25">
      <c r="A7" s="11" t="s">
        <v>22</v>
      </c>
      <c r="B7" s="12">
        <v>18307</v>
      </c>
      <c r="C7" s="12">
        <v>64931</v>
      </c>
      <c r="D7" s="12">
        <v>43033</v>
      </c>
      <c r="E7" s="12">
        <v>2392160</v>
      </c>
      <c r="F7" s="12">
        <v>6525.4009999999998</v>
      </c>
      <c r="G7" s="12">
        <v>8005.9049999999997</v>
      </c>
      <c r="H7" s="13">
        <f t="shared" si="0"/>
        <v>81.507349887364384</v>
      </c>
      <c r="I7" s="13"/>
      <c r="J7" s="13"/>
      <c r="K7" s="13"/>
      <c r="L7" s="13">
        <v>515.32898999999998</v>
      </c>
      <c r="M7" s="13">
        <v>11.435270000000001</v>
      </c>
      <c r="N7" s="14">
        <v>2.4619999999999996E-2</v>
      </c>
      <c r="O7" s="13">
        <v>526.78888000000018</v>
      </c>
      <c r="P7" s="13">
        <v>635.13477999999998</v>
      </c>
      <c r="Q7" s="13">
        <f t="shared" si="1"/>
        <v>82.941274291418935</v>
      </c>
    </row>
    <row r="8" spans="1:35" ht="17.100000000000001" customHeight="1" x14ac:dyDescent="0.25">
      <c r="A8" s="7" t="s">
        <v>23</v>
      </c>
      <c r="B8" s="8">
        <v>19167</v>
      </c>
      <c r="C8" s="8">
        <v>69039.75</v>
      </c>
      <c r="D8" s="8">
        <v>46353</v>
      </c>
      <c r="E8" s="8">
        <v>2634791</v>
      </c>
      <c r="F8" s="8">
        <v>7106.5690000000004</v>
      </c>
      <c r="G8" s="8">
        <v>8621.16</v>
      </c>
      <c r="H8" s="9">
        <f t="shared" si="0"/>
        <v>82.431702926288352</v>
      </c>
      <c r="I8" s="9">
        <v>3793.7699999999995</v>
      </c>
      <c r="J8" s="9">
        <v>2.2960000000000003</v>
      </c>
      <c r="K8" s="9">
        <v>3796.0659999999993</v>
      </c>
      <c r="L8" s="9">
        <v>649.40377999999998</v>
      </c>
      <c r="M8" s="9">
        <v>13.848400000000002</v>
      </c>
      <c r="N8" s="10">
        <v>2.462E-2</v>
      </c>
      <c r="O8" s="9">
        <v>663.27679999999998</v>
      </c>
      <c r="P8" s="9">
        <v>803.52521000000002</v>
      </c>
      <c r="Q8" s="9">
        <f t="shared" si="1"/>
        <v>82.545860633296115</v>
      </c>
    </row>
    <row r="9" spans="1:35" ht="17.100000000000001" customHeight="1" x14ac:dyDescent="0.25">
      <c r="A9" s="11" t="s">
        <v>24</v>
      </c>
      <c r="B9" s="12">
        <v>23958</v>
      </c>
      <c r="C9" s="12">
        <v>92216</v>
      </c>
      <c r="D9" s="12">
        <v>61671.490000000005</v>
      </c>
      <c r="E9" s="12">
        <v>3309882</v>
      </c>
      <c r="F9" s="12">
        <v>8725.2091900000014</v>
      </c>
      <c r="G9" s="12">
        <v>11470.829589999999</v>
      </c>
      <c r="H9" s="13">
        <f t="shared" si="0"/>
        <v>76.064325788663396</v>
      </c>
      <c r="I9" s="13">
        <v>9988.67</v>
      </c>
      <c r="J9" s="13">
        <v>9.625</v>
      </c>
      <c r="K9" s="13">
        <v>9998.2949999999983</v>
      </c>
      <c r="L9" s="13">
        <v>804.18450199000006</v>
      </c>
      <c r="M9" s="13">
        <v>26.825370000000003</v>
      </c>
      <c r="N9" s="14">
        <v>2.2540000000000001E-2</v>
      </c>
      <c r="O9" s="13">
        <v>831.0324119899999</v>
      </c>
      <c r="P9" s="13">
        <v>1070.15211045</v>
      </c>
      <c r="Q9" s="13">
        <f t="shared" si="1"/>
        <v>77.655541102521397</v>
      </c>
    </row>
    <row r="10" spans="1:35" ht="17.100000000000001" customHeight="1" x14ac:dyDescent="0.25">
      <c r="A10" s="7" t="s">
        <v>25</v>
      </c>
      <c r="B10" s="8">
        <v>26610</v>
      </c>
      <c r="C10" s="8">
        <v>102793.3</v>
      </c>
      <c r="D10" s="8">
        <v>69679.31</v>
      </c>
      <c r="E10" s="8">
        <v>3758856</v>
      </c>
      <c r="F10" s="8">
        <v>9911.4933829999991</v>
      </c>
      <c r="G10" s="8">
        <v>12960.353590000002</v>
      </c>
      <c r="H10" s="9">
        <f t="shared" si="0"/>
        <v>76.475485905319331</v>
      </c>
      <c r="I10" s="9">
        <v>13988.957999999999</v>
      </c>
      <c r="J10" s="9">
        <v>8.4489999999999998</v>
      </c>
      <c r="K10" s="9">
        <v>13997.407000000001</v>
      </c>
      <c r="L10" s="9">
        <v>947.22081999999978</v>
      </c>
      <c r="M10" s="9">
        <v>38.218789999999998</v>
      </c>
      <c r="N10" s="10">
        <v>2.0570000000000001E-2</v>
      </c>
      <c r="O10" s="9">
        <v>985.46018000000004</v>
      </c>
      <c r="P10" s="9">
        <v>1251.0795600000001</v>
      </c>
      <c r="Q10" s="9">
        <f t="shared" si="1"/>
        <v>78.768785895598839</v>
      </c>
    </row>
    <row r="11" spans="1:35" ht="17.100000000000001" customHeight="1" x14ac:dyDescent="0.25">
      <c r="A11" s="11" t="s">
        <v>26</v>
      </c>
      <c r="B11" s="12">
        <v>27759</v>
      </c>
      <c r="C11" s="12">
        <v>110513.03</v>
      </c>
      <c r="D11" s="12">
        <v>73950.574999999997</v>
      </c>
      <c r="E11" s="12">
        <v>4148427</v>
      </c>
      <c r="F11" s="12">
        <v>11026.258781</v>
      </c>
      <c r="G11" s="12">
        <v>13754.803464000002</v>
      </c>
      <c r="H11" s="13">
        <f t="shared" si="0"/>
        <v>80.162968593907337</v>
      </c>
      <c r="I11" s="13">
        <v>16193.879999999997</v>
      </c>
      <c r="J11" s="13">
        <v>11.837</v>
      </c>
      <c r="K11" s="13">
        <v>16205.716999999997</v>
      </c>
      <c r="L11" s="13">
        <v>965.83051083700002</v>
      </c>
      <c r="M11" s="13">
        <v>44.302828012999996</v>
      </c>
      <c r="N11" s="14">
        <v>2.0812008900000002E-2</v>
      </c>
      <c r="O11" s="13">
        <v>1010.1585201890001</v>
      </c>
      <c r="P11" s="13">
        <v>1260.0275541240001</v>
      </c>
      <c r="Q11" s="13">
        <f t="shared" si="1"/>
        <v>80.16955794996764</v>
      </c>
    </row>
    <row r="12" spans="1:35" ht="17.100000000000001" customHeight="1" x14ac:dyDescent="0.25">
      <c r="A12" s="7" t="s">
        <v>28</v>
      </c>
      <c r="B12" s="8">
        <v>29531</v>
      </c>
      <c r="C12" s="8">
        <v>116981.49000000005</v>
      </c>
      <c r="D12" s="8">
        <v>78209.034</v>
      </c>
      <c r="E12" s="8">
        <v>4648162</v>
      </c>
      <c r="F12" s="8">
        <v>12242.024616999999</v>
      </c>
      <c r="G12" s="8">
        <v>14546.879764000001</v>
      </c>
      <c r="H12" s="9">
        <f t="shared" si="0"/>
        <v>84.155673351312359</v>
      </c>
      <c r="I12" s="9">
        <v>22552.885999999999</v>
      </c>
      <c r="J12" s="9">
        <v>11.107000000000001</v>
      </c>
      <c r="K12" s="9">
        <v>22563.993000000002</v>
      </c>
      <c r="L12" s="9">
        <v>1107.9605328940002</v>
      </c>
      <c r="M12" s="9">
        <v>62.308979075000003</v>
      </c>
      <c r="N12" s="10">
        <v>2.4473668000000001E-2</v>
      </c>
      <c r="O12" s="9">
        <v>1170.2939856370001</v>
      </c>
      <c r="P12" s="9">
        <v>1341.9517089800001</v>
      </c>
      <c r="Q12" s="9">
        <f t="shared" si="1"/>
        <v>87.208353162464036</v>
      </c>
    </row>
    <row r="13" spans="1:35" ht="17.100000000000001" customHeight="1" x14ac:dyDescent="0.25">
      <c r="A13" s="11" t="s">
        <v>30</v>
      </c>
      <c r="B13" s="12">
        <v>12879</v>
      </c>
      <c r="C13" s="12">
        <v>47970.670000000006</v>
      </c>
      <c r="D13" s="12">
        <v>32257.052580645162</v>
      </c>
      <c r="E13" s="12">
        <v>1444283</v>
      </c>
      <c r="F13" s="12">
        <v>3954.3915439999996</v>
      </c>
      <c r="G13" s="12">
        <v>5985.2288760000001</v>
      </c>
      <c r="H13" s="13">
        <f t="shared" si="0"/>
        <v>66.069178404465063</v>
      </c>
      <c r="I13" s="13">
        <v>12171.398999999999</v>
      </c>
      <c r="J13" s="13">
        <v>51.954999999999998</v>
      </c>
      <c r="K13" s="13">
        <v>12223.353999999999</v>
      </c>
      <c r="L13" s="13">
        <v>272.82293911099998</v>
      </c>
      <c r="M13" s="13">
        <v>34.25210011299999</v>
      </c>
      <c r="N13" s="14">
        <v>0.151426854</v>
      </c>
      <c r="O13" s="13">
        <v>307.22646607799999</v>
      </c>
      <c r="P13" s="13">
        <v>385.08555359799999</v>
      </c>
      <c r="Q13" s="13">
        <f t="shared" si="1"/>
        <v>79.781353314209497</v>
      </c>
    </row>
    <row r="14" spans="1:35" ht="17.100000000000001" customHeight="1" x14ac:dyDescent="0.25">
      <c r="A14" s="16" t="s">
        <v>36</v>
      </c>
      <c r="B14" s="8">
        <v>22064</v>
      </c>
      <c r="C14" s="8">
        <v>82609.940000000017</v>
      </c>
      <c r="D14" s="8">
        <v>56132.267999999996</v>
      </c>
      <c r="E14" s="8">
        <v>2273911</v>
      </c>
      <c r="F14" s="8">
        <v>6262.7094339999994</v>
      </c>
      <c r="G14" s="8">
        <v>10440.601845999998</v>
      </c>
      <c r="H14" s="9">
        <f t="shared" si="0"/>
        <v>59.984180283623857</v>
      </c>
      <c r="I14" s="9">
        <v>25207.307000000001</v>
      </c>
      <c r="J14" s="9">
        <v>69.084699999999984</v>
      </c>
      <c r="K14" s="9">
        <v>25276.391699999996</v>
      </c>
      <c r="L14" s="9">
        <v>428.75468928999999</v>
      </c>
      <c r="M14" s="9">
        <v>72.198338176999997</v>
      </c>
      <c r="N14" s="10">
        <v>0.19769013800000002</v>
      </c>
      <c r="O14" s="9">
        <v>501.15071760500007</v>
      </c>
      <c r="P14" s="9">
        <v>641.57624198100007</v>
      </c>
      <c r="Q14" s="9">
        <f t="shared" si="1"/>
        <v>78.112418261872193</v>
      </c>
    </row>
    <row r="15" spans="1:35" ht="17.100000000000001" customHeight="1" x14ac:dyDescent="0.25">
      <c r="A15" s="11" t="s">
        <v>31</v>
      </c>
      <c r="B15" s="12">
        <v>30869</v>
      </c>
      <c r="C15" s="12">
        <v>119698.21743333331</v>
      </c>
      <c r="D15" s="12">
        <v>79503.27399999999</v>
      </c>
      <c r="E15" s="12">
        <v>4098086</v>
      </c>
      <c r="F15" s="12">
        <v>11092.851418999999</v>
      </c>
      <c r="G15" s="12">
        <v>14787.609364</v>
      </c>
      <c r="H15" s="13">
        <f t="shared" si="0"/>
        <v>75.014501302727268</v>
      </c>
      <c r="I15" s="13">
        <v>26245.760000000002</v>
      </c>
      <c r="J15" s="13">
        <v>76.319000000000003</v>
      </c>
      <c r="K15" s="13">
        <v>26322.079000000002</v>
      </c>
      <c r="L15" s="13">
        <v>901.6265839859999</v>
      </c>
      <c r="M15" s="13">
        <v>72.217513453400002</v>
      </c>
      <c r="N15" s="14">
        <v>0.20660755300000003</v>
      </c>
      <c r="O15" s="13">
        <v>974.05070499240003</v>
      </c>
      <c r="P15" s="13">
        <v>1362.5202545410002</v>
      </c>
      <c r="Q15" s="13">
        <f t="shared" si="1"/>
        <v>71.488897265643502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7.100000000000001" customHeight="1" x14ac:dyDescent="0.25">
      <c r="A16" s="7" t="s">
        <v>32</v>
      </c>
      <c r="B16" s="8">
        <v>34161</v>
      </c>
      <c r="C16" s="8">
        <v>137683.48116666666</v>
      </c>
      <c r="D16" s="8">
        <v>91773.566660000011</v>
      </c>
      <c r="E16" s="8">
        <v>4987446</v>
      </c>
      <c r="F16" s="8">
        <v>13525.916034999998</v>
      </c>
      <c r="G16" s="8">
        <v>17117.803838</v>
      </c>
      <c r="H16" s="9">
        <f t="shared" si="0"/>
        <v>79.016655191325825</v>
      </c>
      <c r="I16" s="9">
        <v>24104.334999999999</v>
      </c>
      <c r="J16" s="9">
        <v>16.87</v>
      </c>
      <c r="K16" s="9">
        <v>24121.205000000002</v>
      </c>
      <c r="L16" s="9">
        <v>1087.0880287549999</v>
      </c>
      <c r="M16" s="9">
        <v>70.693121733500007</v>
      </c>
      <c r="N16" s="10">
        <v>4.9718539999999999E-2</v>
      </c>
      <c r="O16" s="9">
        <v>1157.8308690284998</v>
      </c>
      <c r="P16" s="9">
        <v>1659.7921330499998</v>
      </c>
      <c r="Q16" s="9">
        <f t="shared" si="1"/>
        <v>69.757582649876383</v>
      </c>
    </row>
    <row r="17" spans="1:17" ht="22.5" customHeight="1" x14ac:dyDescent="0.25">
      <c r="A17" s="1" t="s">
        <v>33</v>
      </c>
      <c r="B17" s="2">
        <f t="shared" ref="B17:Q17" si="2">(B16-B15)/B15</f>
        <v>0.10664420616152127</v>
      </c>
      <c r="C17" s="2">
        <f t="shared" si="2"/>
        <v>0.15025506744367653</v>
      </c>
      <c r="D17" s="2">
        <f t="shared" si="2"/>
        <v>0.1543369479349998</v>
      </c>
      <c r="E17" s="2">
        <f t="shared" si="2"/>
        <v>0.21701838370400231</v>
      </c>
      <c r="F17" s="2">
        <f t="shared" si="2"/>
        <v>0.21933626658269403</v>
      </c>
      <c r="G17" s="2">
        <f t="shared" si="2"/>
        <v>0.15757749725745324</v>
      </c>
      <c r="H17" s="2">
        <f t="shared" si="2"/>
        <v>5.3351736252268495E-2</v>
      </c>
      <c r="I17" s="2">
        <f t="shared" si="2"/>
        <v>-8.1591274171523426E-2</v>
      </c>
      <c r="J17" s="2">
        <f t="shared" si="2"/>
        <v>-0.77895412675742604</v>
      </c>
      <c r="K17" s="2">
        <f t="shared" si="2"/>
        <v>-8.3613228271216714E-2</v>
      </c>
      <c r="L17" s="2">
        <f t="shared" si="2"/>
        <v>0.205696513460255</v>
      </c>
      <c r="M17" s="2">
        <f t="shared" si="2"/>
        <v>-2.1108338504117061E-2</v>
      </c>
      <c r="N17" s="2">
        <f t="shared" si="2"/>
        <v>-0.7593575874740649</v>
      </c>
      <c r="O17" s="2">
        <f t="shared" si="2"/>
        <v>0.18867617783566382</v>
      </c>
      <c r="P17" s="2">
        <f t="shared" si="2"/>
        <v>0.21817795186402075</v>
      </c>
      <c r="Q17" s="2">
        <f t="shared" si="2"/>
        <v>-2.4217951066356179E-2</v>
      </c>
    </row>
    <row r="18" spans="1:17" ht="28.5" customHeight="1" x14ac:dyDescent="0.25">
      <c r="A18" s="15" t="s">
        <v>34</v>
      </c>
      <c r="B18" s="3">
        <f t="shared" ref="B18:H18" si="3">(((B16/B6)^(1/10))-1)</f>
        <v>6.4111370917638855E-2</v>
      </c>
      <c r="C18" s="3">
        <f t="shared" si="3"/>
        <v>8.1372956103608951E-2</v>
      </c>
      <c r="D18" s="3">
        <f t="shared" si="3"/>
        <v>8.2476173829713284E-2</v>
      </c>
      <c r="E18" s="3">
        <f t="shared" si="3"/>
        <v>7.9841155088758331E-2</v>
      </c>
      <c r="F18" s="3">
        <f t="shared" si="3"/>
        <v>8.2816413174390036E-2</v>
      </c>
      <c r="G18" s="3">
        <f t="shared" si="3"/>
        <v>8.2779465299672728E-2</v>
      </c>
      <c r="H18" s="3">
        <f t="shared" si="3"/>
        <v>3.4123176419154078E-5</v>
      </c>
      <c r="I18" s="3"/>
      <c r="J18" s="3"/>
      <c r="K18" s="3"/>
      <c r="L18" s="3">
        <f>(((L16/L6)^(1/10))-1)</f>
        <v>6.2642511226705277E-2</v>
      </c>
      <c r="M18" s="3"/>
      <c r="N18" s="3"/>
      <c r="O18" s="3">
        <f>(((O16/O6)^(1/10))-1)</f>
        <v>6.9363181304996191E-2</v>
      </c>
      <c r="P18" s="3">
        <f>(((P16/P6)^(1/10))-1)</f>
        <v>7.5356585892315975E-2</v>
      </c>
      <c r="Q18" s="3">
        <f>(((Q16/Q6)^(1/10))-1)</f>
        <v>-5.5734113371767036E-3</v>
      </c>
    </row>
    <row r="19" spans="1:17" x14ac:dyDescent="0.25">
      <c r="A19" s="20" t="s">
        <v>27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25">
      <c r="A20" s="22" t="s">
        <v>35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6.5" customHeight="1" x14ac:dyDescent="0.25">
      <c r="A21" s="17" t="s">
        <v>37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J22" s="4"/>
      <c r="K22" s="4"/>
      <c r="L22" s="4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2022-04-25T07:00:51Z</cp:lastPrinted>
  <dcterms:created xsi:type="dcterms:W3CDTF">2020-06-05T08:00:46Z</dcterms:created>
  <dcterms:modified xsi:type="dcterms:W3CDTF">2025-01-24T09:07:12Z</dcterms:modified>
</cp:coreProperties>
</file>