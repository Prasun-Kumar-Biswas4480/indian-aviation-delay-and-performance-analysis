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xWindow="0" yWindow="0" windowWidth="10875" windowHeight="9495"/>
  </bookViews>
  <sheets>
    <sheet name="INDIGO" sheetId="1" r:id="rId1"/>
  </sheets>
  <definedNames>
    <definedName name="_xlnm.Print_Area" localSheetId="0">INDIGO!$A$1:$Q$19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H8" i="1" l="1"/>
  <c r="H9" i="1"/>
  <c r="Q9" i="1"/>
  <c r="H10" i="1"/>
  <c r="Q11" i="1"/>
  <c r="H17" i="1"/>
  <c r="Q17" i="1"/>
  <c r="Q14" i="1" l="1"/>
  <c r="H6" i="1"/>
  <c r="Q12" i="1"/>
  <c r="Q10" i="1"/>
  <c r="Q7" i="1"/>
  <c r="H12" i="1"/>
  <c r="H13" i="1"/>
  <c r="Q16" i="1"/>
  <c r="H16" i="1"/>
  <c r="Q8" i="1"/>
  <c r="Q15" i="1"/>
  <c r="H7" i="1"/>
  <c r="Q13" i="1"/>
  <c r="H14" i="1"/>
  <c r="H11" i="1"/>
  <c r="Q6" i="1"/>
  <c r="H15" i="1"/>
</calcChain>
</file>

<file path=xl/sharedStrings.xml><?xml version="1.0" encoding="utf-8"?>
<sst xmlns="http://schemas.openxmlformats.org/spreadsheetml/2006/main" count="26" uniqueCount="24">
  <si>
    <t xml:space="preserve">तालिका 1.03(इंडिगो) </t>
  </si>
  <si>
    <t>Table 1.03 (INDIGO)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</si>
  <si>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</si>
  <si>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</si>
  <si>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</si>
  <si>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</si>
  <si>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</si>
  <si>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</si>
  <si>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</si>
  <si>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</si>
  <si>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</si>
  <si>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</si>
  <si>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</si>
  <si>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</si>
  <si>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</si>
  <si>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</si>
  <si>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</si>
  <si>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</si>
  <si>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</si>
  <si>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</si>
  <si>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</si>
  <si>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INDIGO</t>
  </si>
  <si>
    <t>MONTHLY TRAFFIC AND OPERATING STATISTICS OF INDIGO ON SCHEDULED (DOMESTIC + INTERNATIONAL*) SERVICES DURING 2023-24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</si>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</sst>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_(* #,##0.0_);_(* \(#,##0.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164" fontId="1" fillId="3" borderId="1" xfId="2" applyNumberFormat="1" applyBorder="1" applyAlignment="1">
      <alignment horizontal="right" vertical="center"/>
    </xf>
    <xf numFmtId="165" fontId="1" fillId="3" borderId="1" xfId="2" applyNumberForma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wrapText="1"/>
    </xf>
    <xf numFmtId="164" fontId="1" fillId="5" borderId="1" xfId="2" applyNumberFormat="1" applyFill="1" applyBorder="1" applyAlignment="1">
      <alignment horizontal="right" vertical="center"/>
    </xf>
    <xf numFmtId="165" fontId="1" fillId="5" borderId="1" xfId="2" applyNumberFormat="1" applyFill="1" applyBorder="1" applyAlignment="1">
      <alignment horizontal="right" vertical="center"/>
    </xf>
    <xf numFmtId="0" fontId="4" fillId="2" borderId="1" xfId="1" applyFont="1" applyBorder="1" applyAlignment="1" applyProtection="1">
      <alignment horizontal="center" vertical="center" textRotation="90" wrapText="1"/>
    </xf>
    <xf numFmtId="0" fontId="0" fillId="5" borderId="0" xfId="0" applyFill="1"/>
    <xf numFmtId="164" fontId="2" fillId="3" borderId="1" xfId="2" applyNumberFormat="1" applyFont="1" applyBorder="1" applyAlignment="1">
      <alignment horizontal="right" vertical="center"/>
    </xf>
    <xf numFmtId="165" fontId="2" fillId="3" borderId="1" xfId="2" applyNumberFormat="1" applyFont="1" applyBorder="1" applyAlignment="1">
      <alignment horizontal="right" vertical="center"/>
    </xf>
    <xf numFmtId="166" fontId="1" fillId="3" borderId="1" xfId="2" applyNumberFormat="1" applyBorder="1" applyAlignment="1" applyProtection="1">
      <alignment horizontal="center" vertical="center" wrapText="1"/>
    </xf>
    <xf numFmtId="166" fontId="1" fillId="5" borderId="1" xfId="2" applyNumberFormat="1" applyFill="1" applyBorder="1" applyAlignment="1" applyProtection="1">
      <alignment horizontal="center" vertical="center" wrapText="1"/>
    </xf>
    <xf numFmtId="0" fontId="4" fillId="2" borderId="1" xfId="1" applyFont="1" applyBorder="1" applyAlignment="1" applyProtection="1">
      <alignment horizontal="center" vertical="center" textRotation="90" wrapText="1"/>
    </xf>
    <xf numFmtId="0" fontId="4" fillId="2" borderId="1" xfId="1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2" applyFont="1" applyBorder="1" applyAlignment="1">
      <alignment horizontal="center" vertical="center" wrapText="1"/>
    </xf>
    <xf numFmtId="0" fontId="4" fillId="3" borderId="1" xfId="2" quotePrefix="1" applyFont="1" applyBorder="1" applyAlignment="1" applyProtection="1">
      <alignment horizontal="center" vertical="center" wrapText="1"/>
    </xf>
    <xf numFmtId="0" fontId="4" fillId="3" borderId="1" xfId="2" applyFont="1" applyBorder="1"/>
    <xf numFmtId="0" fontId="4" fillId="2" borderId="1" xfId="1" applyFont="1" applyBorder="1" applyAlignment="1" applyProtection="1">
      <alignment horizontal="center" vertical="center" wrapText="1"/>
    </xf>
    <xf numFmtId="0" fontId="4" fillId="2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4" zoomScale="85" zoomScaleNormal="96" zoomScaleSheetLayoutView="85" workbookViewId="0">
      <selection activeCell="S5" sqref="S5"/>
    </sheetView>
  </sheetViews>
  <sheetFormatPr defaultRowHeight="15" x14ac:dyDescent="0.25"/>
  <cols>
    <col min="1" max="1" width="13.7109375" customWidth="1"/>
    <col min="2" max="2" width="9.5703125" customWidth="1"/>
    <col min="3" max="3" width="11.7109375" customWidth="1"/>
    <col min="4" max="4" width="9.85546875" customWidth="1"/>
    <col min="5" max="5" width="12.28515625" bestFit="1" customWidth="1"/>
    <col min="6" max="6" width="10.85546875" customWidth="1"/>
    <col min="7" max="7" width="11.28515625" customWidth="1"/>
    <col min="8" max="8" width="9.140625" customWidth="1"/>
    <col min="9" max="9" width="11.140625" customWidth="1"/>
    <col min="10" max="10" width="10.7109375" customWidth="1"/>
    <col min="11" max="11" width="11.85546875" customWidth="1"/>
    <col min="12" max="12" width="10.85546875" customWidth="1"/>
    <col min="13" max="13" width="9.42578125" customWidth="1"/>
    <col min="14" max="14" width="8.7109375" customWidth="1"/>
    <col min="15" max="15" width="10.5703125" customWidth="1"/>
    <col min="16" max="16" width="13.28515625" customWidth="1"/>
    <col min="17" max="17" width="8.42578125" customWidth="1"/>
  </cols>
  <sheetData>
    <row r="1" spans="1:17" ht="19.899999999999999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9.899999999999999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9.899999999999999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9.899999999999999" customHeight="1" x14ac:dyDescent="0.25">
      <c r="A4" s="18" t="s">
        <v>2</v>
      </c>
      <c r="B4" s="18" t="s">
        <v>3</v>
      </c>
      <c r="C4" s="18"/>
      <c r="D4" s="18"/>
      <c r="E4" s="18" t="s">
        <v>4</v>
      </c>
      <c r="F4" s="19"/>
      <c r="G4" s="12" t="s">
        <v>5</v>
      </c>
      <c r="H4" s="12" t="s">
        <v>6</v>
      </c>
      <c r="I4" s="18" t="s">
        <v>7</v>
      </c>
      <c r="J4" s="18"/>
      <c r="K4" s="18"/>
      <c r="L4" s="18" t="s">
        <v>8</v>
      </c>
      <c r="M4" s="18"/>
      <c r="N4" s="18"/>
      <c r="O4" s="18"/>
      <c r="P4" s="12" t="s">
        <v>9</v>
      </c>
      <c r="Q4" s="12" t="s">
        <v>10</v>
      </c>
    </row>
    <row r="5" spans="1:17" ht="116.25" customHeight="1" x14ac:dyDescent="0.25">
      <c r="A5" s="18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13"/>
      <c r="H5" s="13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13"/>
      <c r="Q5" s="13"/>
    </row>
    <row r="6" spans="1:17" ht="24" customHeight="1" x14ac:dyDescent="0.25">
      <c r="A6" s="10">
        <v>45017</v>
      </c>
      <c r="B6" s="1">
        <v>53924</v>
      </c>
      <c r="C6" s="1">
        <v>103396.21666666667</v>
      </c>
      <c r="D6" s="1">
        <v>55399.05</v>
      </c>
      <c r="E6" s="1">
        <v>8216436</v>
      </c>
      <c r="F6" s="1">
        <v>9015.1810000000005</v>
      </c>
      <c r="G6" s="1">
        <v>10480.787</v>
      </c>
      <c r="H6" s="2">
        <f>F6/G6*100</f>
        <v>86.016260038487573</v>
      </c>
      <c r="I6" s="2">
        <v>22528.532999999999</v>
      </c>
      <c r="J6" s="2">
        <v>2102.9460000000013</v>
      </c>
      <c r="K6" s="2">
        <v>24631.478999999999</v>
      </c>
      <c r="L6" s="2">
        <v>808.7168999999999</v>
      </c>
      <c r="M6" s="2">
        <v>31.130119999999998</v>
      </c>
      <c r="N6" s="2">
        <v>1.888398</v>
      </c>
      <c r="O6" s="2">
        <v>841.7354180000001</v>
      </c>
      <c r="P6" s="2">
        <v>1169.7347</v>
      </c>
      <c r="Q6" s="2">
        <f>O6/P6*100</f>
        <v>71.959515093465214</v>
      </c>
    </row>
    <row r="7" spans="1:17" s="7" customFormat="1" ht="24" customHeight="1" x14ac:dyDescent="0.25">
      <c r="A7" s="11">
        <v>45047</v>
      </c>
      <c r="B7" s="4">
        <v>56403</v>
      </c>
      <c r="C7" s="4">
        <v>107688.23333333334</v>
      </c>
      <c r="D7" s="4">
        <v>57928.600000000006</v>
      </c>
      <c r="E7" s="4">
        <v>9041853</v>
      </c>
      <c r="F7" s="4">
        <v>9987.6630000000005</v>
      </c>
      <c r="G7" s="4">
        <v>11071.934999999999</v>
      </c>
      <c r="H7" s="5">
        <f t="shared" ref="H7:H18" si="0">F7/G7*100</f>
        <v>90.207023433573269</v>
      </c>
      <c r="I7" s="5">
        <v>27510.694</v>
      </c>
      <c r="J7" s="5">
        <v>2073.9409999999998</v>
      </c>
      <c r="K7" s="5">
        <v>29584.634999999998</v>
      </c>
      <c r="L7" s="5">
        <v>897.54901340000004</v>
      </c>
      <c r="M7" s="5">
        <v>47.72701</v>
      </c>
      <c r="N7" s="5">
        <v>2.5075120000000002</v>
      </c>
      <c r="O7" s="5">
        <v>947.78353540000001</v>
      </c>
      <c r="P7" s="5">
        <v>1227.4019920000001</v>
      </c>
      <c r="Q7" s="5">
        <f>O7/P7*100</f>
        <v>77.218673391235612</v>
      </c>
    </row>
    <row r="8" spans="1:17" ht="24" customHeight="1" x14ac:dyDescent="0.25">
      <c r="A8" s="10">
        <v>45078</v>
      </c>
      <c r="B8" s="1">
        <v>55486</v>
      </c>
      <c r="C8" s="1">
        <v>106571.20000000001</v>
      </c>
      <c r="D8" s="1">
        <v>57496.784</v>
      </c>
      <c r="E8" s="1">
        <v>8838498</v>
      </c>
      <c r="F8" s="1">
        <v>9909.3679999999986</v>
      </c>
      <c r="G8" s="1">
        <v>11070.547</v>
      </c>
      <c r="H8" s="2">
        <f t="shared" si="0"/>
        <v>89.5110964254973</v>
      </c>
      <c r="I8" s="2">
        <v>26949.629999999997</v>
      </c>
      <c r="J8" s="2">
        <v>2395.5949999999998</v>
      </c>
      <c r="K8" s="2">
        <v>29345.224999999999</v>
      </c>
      <c r="L8" s="2">
        <v>891.75863700000014</v>
      </c>
      <c r="M8" s="2">
        <v>51.696930000000002</v>
      </c>
      <c r="N8" s="2">
        <v>3.360341</v>
      </c>
      <c r="O8" s="2">
        <v>946.81590800000004</v>
      </c>
      <c r="P8" s="2">
        <v>1219.7376389999999</v>
      </c>
      <c r="Q8" s="2">
        <f t="shared" ref="Q8:Q18" si="1">O8/P8*100</f>
        <v>77.624554471914593</v>
      </c>
    </row>
    <row r="9" spans="1:17" s="7" customFormat="1" ht="24" customHeight="1" x14ac:dyDescent="0.25">
      <c r="A9" s="11">
        <v>45108</v>
      </c>
      <c r="B9" s="4">
        <v>57955</v>
      </c>
      <c r="C9" s="4">
        <v>112234.78333333333</v>
      </c>
      <c r="D9" s="4">
        <v>60097.038</v>
      </c>
      <c r="E9" s="4">
        <v>8666099</v>
      </c>
      <c r="F9" s="4">
        <v>9721.7289999999994</v>
      </c>
      <c r="G9" s="4">
        <v>11611.353999999999</v>
      </c>
      <c r="H9" s="5">
        <f t="shared" si="0"/>
        <v>83.726058132410742</v>
      </c>
      <c r="I9" s="5">
        <v>28165.657999999999</v>
      </c>
      <c r="J9" s="5">
        <v>2598.69</v>
      </c>
      <c r="K9" s="5">
        <v>30764.348000000002</v>
      </c>
      <c r="L9" s="5">
        <v>874.85545223999998</v>
      </c>
      <c r="M9" s="5">
        <v>54.105202999999996</v>
      </c>
      <c r="N9" s="5">
        <v>3.3370489999999999</v>
      </c>
      <c r="O9" s="5">
        <v>932.29770423999992</v>
      </c>
      <c r="P9" s="5">
        <v>1276.4591874900002</v>
      </c>
      <c r="Q9" s="5">
        <f t="shared" si="1"/>
        <v>73.037799670920037</v>
      </c>
    </row>
    <row r="10" spans="1:17" ht="24" customHeight="1" x14ac:dyDescent="0.25">
      <c r="A10" s="10">
        <v>45139</v>
      </c>
      <c r="B10" s="1">
        <v>59137</v>
      </c>
      <c r="C10" s="1">
        <v>114397.65</v>
      </c>
      <c r="D10" s="1">
        <v>61836.402000000002</v>
      </c>
      <c r="E10" s="1">
        <v>8858432</v>
      </c>
      <c r="F10" s="1">
        <v>9923.9740000000002</v>
      </c>
      <c r="G10" s="1">
        <v>11967.273000000001</v>
      </c>
      <c r="H10" s="2">
        <f t="shared" si="0"/>
        <v>82.925943111684674</v>
      </c>
      <c r="I10" s="2">
        <v>27376.572</v>
      </c>
      <c r="J10" s="2">
        <v>2625.4870000000001</v>
      </c>
      <c r="K10" s="2">
        <v>30002.059000000001</v>
      </c>
      <c r="L10" s="2">
        <v>893.08989115000008</v>
      </c>
      <c r="M10" s="2">
        <v>51.032916</v>
      </c>
      <c r="N10" s="2">
        <v>3.3824339999999999</v>
      </c>
      <c r="O10" s="2">
        <v>947.50524114999996</v>
      </c>
      <c r="P10" s="2">
        <v>1317.12018139</v>
      </c>
      <c r="Q10" s="2">
        <f t="shared" si="1"/>
        <v>71.937645063646869</v>
      </c>
    </row>
    <row r="11" spans="1:17" s="7" customFormat="1" ht="24" customHeight="1" x14ac:dyDescent="0.25">
      <c r="A11" s="11">
        <v>45170</v>
      </c>
      <c r="B11" s="4">
        <v>57908</v>
      </c>
      <c r="C11" s="4">
        <v>112956.41666666666</v>
      </c>
      <c r="D11" s="4">
        <v>60342.19</v>
      </c>
      <c r="E11" s="4">
        <v>8711808</v>
      </c>
      <c r="F11" s="4">
        <v>9709.759</v>
      </c>
      <c r="G11" s="4">
        <v>11684.125</v>
      </c>
      <c r="H11" s="5">
        <f t="shared" si="0"/>
        <v>83.102149283750393</v>
      </c>
      <c r="I11" s="5">
        <v>25842.499</v>
      </c>
      <c r="J11" s="5">
        <v>2209.636</v>
      </c>
      <c r="K11" s="5">
        <v>28052.135000000002</v>
      </c>
      <c r="L11" s="5">
        <v>873.74576939999997</v>
      </c>
      <c r="M11" s="5">
        <v>50.220800999999994</v>
      </c>
      <c r="N11" s="5">
        <v>2.8363620000000003</v>
      </c>
      <c r="O11" s="5">
        <v>926.80293240000003</v>
      </c>
      <c r="P11" s="5">
        <v>1284.0938884900002</v>
      </c>
      <c r="Q11" s="5">
        <f t="shared" si="1"/>
        <v>72.175636120334786</v>
      </c>
    </row>
    <row r="12" spans="1:17" ht="24" customHeight="1" x14ac:dyDescent="0.25">
      <c r="A12" s="10">
        <v>45200</v>
      </c>
      <c r="B12" s="1">
        <v>60633</v>
      </c>
      <c r="C12" s="1">
        <v>117393.63333333333</v>
      </c>
      <c r="D12" s="1">
        <v>62953.197</v>
      </c>
      <c r="E12" s="1">
        <v>8887136</v>
      </c>
      <c r="F12" s="1">
        <v>10050.611000000001</v>
      </c>
      <c r="G12" s="1">
        <v>12202.920999999998</v>
      </c>
      <c r="H12" s="2">
        <f t="shared" si="0"/>
        <v>82.362337673086643</v>
      </c>
      <c r="I12" s="2">
        <v>28355.494999999999</v>
      </c>
      <c r="J12" s="2">
        <v>2324.7489999999998</v>
      </c>
      <c r="K12" s="2">
        <v>30680.243999999999</v>
      </c>
      <c r="L12" s="2">
        <v>904.48766813000009</v>
      </c>
      <c r="M12" s="2">
        <v>55.280116</v>
      </c>
      <c r="N12" s="2">
        <v>3.1867259999999997</v>
      </c>
      <c r="O12" s="2">
        <v>962.95451013000002</v>
      </c>
      <c r="P12" s="2">
        <v>1339.3124091300001</v>
      </c>
      <c r="Q12" s="2">
        <f t="shared" si="1"/>
        <v>71.899170317963581</v>
      </c>
    </row>
    <row r="13" spans="1:17" s="7" customFormat="1" ht="24" customHeight="1" x14ac:dyDescent="0.25">
      <c r="A13" s="11">
        <v>45231</v>
      </c>
      <c r="B13" s="4">
        <v>58944</v>
      </c>
      <c r="C13" s="4">
        <v>115522.38333333333</v>
      </c>
      <c r="D13" s="4">
        <v>61380.433000000005</v>
      </c>
      <c r="E13" s="4">
        <v>8922117</v>
      </c>
      <c r="F13" s="4">
        <v>10166.797999999999</v>
      </c>
      <c r="G13" s="4">
        <v>11943.424000000001</v>
      </c>
      <c r="H13" s="5">
        <f t="shared" si="0"/>
        <v>85.12465102134864</v>
      </c>
      <c r="I13" s="5">
        <v>25568.743000000002</v>
      </c>
      <c r="J13" s="5">
        <v>2315.2939999999999</v>
      </c>
      <c r="K13" s="5">
        <v>27884.037</v>
      </c>
      <c r="L13" s="5">
        <v>914.94186899999988</v>
      </c>
      <c r="M13" s="5">
        <v>42.381535</v>
      </c>
      <c r="N13" s="5">
        <v>2.7662429999999998</v>
      </c>
      <c r="O13" s="5">
        <v>960.08964700000001</v>
      </c>
      <c r="P13" s="5">
        <v>1306.328941</v>
      </c>
      <c r="Q13" s="5">
        <f t="shared" si="1"/>
        <v>73.49524433448191</v>
      </c>
    </row>
    <row r="14" spans="1:17" ht="24" customHeight="1" x14ac:dyDescent="0.25">
      <c r="A14" s="10">
        <v>45261</v>
      </c>
      <c r="B14" s="1">
        <v>60272</v>
      </c>
      <c r="C14" s="1">
        <v>118389.54999999999</v>
      </c>
      <c r="D14" s="1">
        <v>63141.433999999994</v>
      </c>
      <c r="E14" s="1">
        <v>9649520</v>
      </c>
      <c r="F14" s="1">
        <v>11022.572</v>
      </c>
      <c r="G14" s="1">
        <v>12267.315000000001</v>
      </c>
      <c r="H14" s="2">
        <f t="shared" si="0"/>
        <v>89.853174879751592</v>
      </c>
      <c r="I14" s="2">
        <v>26963.510999999999</v>
      </c>
      <c r="J14" s="2">
        <v>2445.116</v>
      </c>
      <c r="K14" s="2">
        <v>29408.626999999997</v>
      </c>
      <c r="L14" s="2">
        <v>991.90015199999993</v>
      </c>
      <c r="M14" s="2">
        <v>45.092984999999999</v>
      </c>
      <c r="N14" s="2">
        <v>2.8649360000000001</v>
      </c>
      <c r="O14" s="2">
        <v>1039.8580729999999</v>
      </c>
      <c r="P14" s="2">
        <v>1341.0871646400001</v>
      </c>
      <c r="Q14" s="2">
        <f t="shared" si="1"/>
        <v>77.538440484525722</v>
      </c>
    </row>
    <row r="15" spans="1:17" s="7" customFormat="1" ht="24" customHeight="1" x14ac:dyDescent="0.25">
      <c r="A15" s="11">
        <v>45292</v>
      </c>
      <c r="B15" s="4">
        <v>56886</v>
      </c>
      <c r="C15" s="4">
        <v>111912.36666666667</v>
      </c>
      <c r="D15" s="4">
        <v>59059.22</v>
      </c>
      <c r="E15" s="4">
        <v>8945117</v>
      </c>
      <c r="F15" s="4">
        <v>10092.437</v>
      </c>
      <c r="G15" s="4">
        <v>11508.825000000001</v>
      </c>
      <c r="H15" s="5">
        <f t="shared" si="0"/>
        <v>87.693026872856265</v>
      </c>
      <c r="I15" s="5">
        <v>25505.134999999998</v>
      </c>
      <c r="J15" s="5">
        <v>2525.7840000000001</v>
      </c>
      <c r="K15" s="5">
        <v>28030.918999999998</v>
      </c>
      <c r="L15" s="5">
        <v>916.13603899999998</v>
      </c>
      <c r="M15" s="5">
        <v>42.222646999999995</v>
      </c>
      <c r="N15" s="5">
        <v>2.7903929999999999</v>
      </c>
      <c r="O15" s="5">
        <v>961.14907900000003</v>
      </c>
      <c r="P15" s="5">
        <v>1255.512997</v>
      </c>
      <c r="Q15" s="5">
        <f t="shared" si="1"/>
        <v>76.554291456689711</v>
      </c>
    </row>
    <row r="16" spans="1:17" ht="24" customHeight="1" x14ac:dyDescent="0.25">
      <c r="A16" s="10">
        <v>45323</v>
      </c>
      <c r="B16" s="1">
        <v>55862</v>
      </c>
      <c r="C16" s="1">
        <v>109211.38333333333</v>
      </c>
      <c r="D16" s="1">
        <v>57158.523000000001</v>
      </c>
      <c r="E16" s="1">
        <v>8568066</v>
      </c>
      <c r="F16" s="1">
        <v>9650.7810000000009</v>
      </c>
      <c r="G16" s="1">
        <v>11053.351000000001</v>
      </c>
      <c r="H16" s="2">
        <f t="shared" si="0"/>
        <v>87.310906891493815</v>
      </c>
      <c r="I16" s="2">
        <v>25735.524000000001</v>
      </c>
      <c r="J16" s="2">
        <v>2741.518</v>
      </c>
      <c r="K16" s="2">
        <v>28477.042000000001</v>
      </c>
      <c r="L16" s="2">
        <v>868.54399599999999</v>
      </c>
      <c r="M16" s="2">
        <v>39.851308000000003</v>
      </c>
      <c r="N16" s="2">
        <v>2.8605959999999997</v>
      </c>
      <c r="O16" s="2">
        <v>911.2559</v>
      </c>
      <c r="P16" s="2">
        <v>1210.8791839999999</v>
      </c>
      <c r="Q16" s="2">
        <f t="shared" si="1"/>
        <v>75.25572427380996</v>
      </c>
    </row>
    <row r="17" spans="1:17" s="7" customFormat="1" ht="24" customHeight="1" x14ac:dyDescent="0.25">
      <c r="A17" s="11">
        <v>45352</v>
      </c>
      <c r="B17" s="4">
        <v>61335</v>
      </c>
      <c r="C17" s="4">
        <v>119334.18333333332</v>
      </c>
      <c r="D17" s="4">
        <v>62988.559000000001</v>
      </c>
      <c r="E17" s="4">
        <v>9097701</v>
      </c>
      <c r="F17" s="4">
        <v>10251.168</v>
      </c>
      <c r="G17" s="4">
        <v>12190.821</v>
      </c>
      <c r="H17" s="5">
        <f t="shared" si="0"/>
        <v>84.08923402287671</v>
      </c>
      <c r="I17" s="5">
        <v>28134.165999999997</v>
      </c>
      <c r="J17" s="5">
        <v>2498.875</v>
      </c>
      <c r="K17" s="5">
        <v>30633.040999999997</v>
      </c>
      <c r="L17" s="5">
        <v>922.54952800000001</v>
      </c>
      <c r="M17" s="5">
        <v>44.466944000000005</v>
      </c>
      <c r="N17" s="5">
        <v>2.6469249999999995</v>
      </c>
      <c r="O17" s="5">
        <v>969.66339700000003</v>
      </c>
      <c r="P17" s="5">
        <v>1333.811522</v>
      </c>
      <c r="Q17" s="5">
        <f t="shared" si="1"/>
        <v>72.698682010635679</v>
      </c>
    </row>
    <row r="18" spans="1:17" ht="24" customHeight="1" x14ac:dyDescent="0.25">
      <c r="A18" s="3" t="s">
        <v>23</v>
      </c>
      <c r="B18" s="8">
        <f>SUM(B6:B17)</f>
        <v>694745</v>
      </c>
      <c r="C18" s="8">
        <f>SUM(C6:C17)</f>
        <v>1349008</v>
      </c>
      <c r="D18" s="8">
        <f t="shared" ref="D18:F18" si="2">SUM(D6:D17)</f>
        <v>719781.43</v>
      </c>
      <c r="E18" s="8">
        <f t="shared" si="2"/>
        <v>106402783</v>
      </c>
      <c r="F18" s="8">
        <f t="shared" si="2"/>
        <v>119502.04100000001</v>
      </c>
      <c r="G18" s="8">
        <f>SUM(G6:G17)</f>
        <v>139052.67800000001</v>
      </c>
      <c r="H18" s="9">
        <f t="shared" si="0"/>
        <v>85.940121915523264</v>
      </c>
      <c r="I18" s="9">
        <f t="shared" ref="I18:O18" si="3">SUM(I6:I17)</f>
        <v>318636.16000000003</v>
      </c>
      <c r="J18" s="9">
        <f t="shared" si="3"/>
        <v>28857.630999999998</v>
      </c>
      <c r="K18" s="9">
        <f t="shared" si="3"/>
        <v>347493.79100000008</v>
      </c>
      <c r="L18" s="9">
        <f t="shared" si="3"/>
        <v>10758.27491532</v>
      </c>
      <c r="M18" s="9">
        <f t="shared" si="3"/>
        <v>555.20851499999992</v>
      </c>
      <c r="N18" s="9">
        <f t="shared" si="3"/>
        <v>34.427914999999999</v>
      </c>
      <c r="O18" s="9">
        <f t="shared" si="3"/>
        <v>11347.911345320001</v>
      </c>
      <c r="P18" s="9">
        <f>SUM(P6:P17)</f>
        <v>15281.47980614</v>
      </c>
      <c r="Q18" s="9">
        <f t="shared" si="1"/>
        <v>74.259243798892328</v>
      </c>
    </row>
    <row r="19" spans="1:17" ht="24" customHeight="1" x14ac:dyDescent="0.25">
      <c r="A19" s="14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2023-11-09T10:17:37Z</cp:lastPrinted>
  <dcterms:created xsi:type="dcterms:W3CDTF">2020-06-03T10:36:30Z</dcterms:created>
  <dcterms:modified xsi:type="dcterms:W3CDTF">2025-01-24T12:03:16Z</dcterms:modified>
</cp:coreProperties>
</file>