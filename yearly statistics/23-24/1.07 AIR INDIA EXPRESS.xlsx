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AIR INDIA EXPRESS\"/>
    </mc:Choice>
  </mc:AlternateContent>
  <bookViews>
    <workbookView xWindow="0" yWindow="0" windowWidth="24000" windowHeight="10725"/>
  </bookViews>
  <sheets>
    <sheet name="AIR INDIA EXPRESS" sheetId="6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6" l="1"/>
  <c r="J17" i="6"/>
  <c r="J16" i="6"/>
  <c r="J15" i="6"/>
  <c r="J14" i="6"/>
  <c r="J13" i="6"/>
</calcChain>
</file>

<file path=xl/sharedStrings.xml><?xml version="1.0" encoding="utf-8"?>
<sst xmlns="http://schemas.openxmlformats.org/spreadsheetml/2006/main" count="62" uniqueCount="38">
  <si>
    <t>COEFFICIENTS BY TYPE OF OPERATIONS</t>
  </si>
  <si>
    <t>UNIT</t>
  </si>
  <si>
    <t>2017-18</t>
  </si>
  <si>
    <t>2016-17</t>
  </si>
  <si>
    <t>2015-16</t>
  </si>
  <si>
    <t>2014-15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</si>
  <si>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</si>
  <si>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</si>
  <si>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</si>
  <si>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</si>
  <si>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</si>
  <si>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</si>
  <si>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</si>
  <si>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</si>
  <si>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</si>
  <si>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</si>
  <si>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</si>
  <si>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</si>
  <si>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</si>
  <si>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</si>
  <si>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</si>
  <si>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</si>
  <si>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SOURCE : ICAO ATR FORM 'A' FURNISHED BY AIR INDIA EXPRESS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</si>
  <si>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</si>
  <si>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</si>
  <si>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</si>
  <si>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</si>
  <si>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</si>
  <si>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</si>
  <si>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</si>
  <si>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AIR INDIA EXPRESS</t>
  </si>
  <si>
    <t>2020-21*</t>
  </si>
  <si>
    <t>* DENOTES that THE INTERNATIONAL OPERATIONS BY SCHEDULED INDIAN OPERATORS WERE CARRIED AS PER DGCA’S CIRCULAR DATED 26.03.2020 UNDER COVID-19 RESTRICTION.</t>
  </si>
  <si>
    <t xml:space="preserve"> तालिका - 1.07 एयर इंडिया एक्सप्रेस (राष्ट्रीय)</t>
  </si>
  <si>
    <t>2022-23</t>
  </si>
  <si>
    <t xml:space="preserve">TABLE - 1.07 AIR INDIA EXPRESS </t>
  </si>
  <si>
    <t>2021-22*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</si>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</sst>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3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0" fontId="1" fillId="7" borderId="1" xfId="5" applyFont="1" applyBorder="1" applyAlignment="1" applyProtection="1">
      <alignment horizontal="left" vertical="center"/>
    </xf>
    <xf numFmtId="0" fontId="1" fillId="7" borderId="1" xfId="5" applyFont="1" applyBorder="1" applyAlignment="1" applyProtection="1">
      <alignment horizontal="center" vertical="center" wrapText="1"/>
    </xf>
    <xf numFmtId="165" fontId="3" fillId="9" borderId="1" xfId="7" applyNumberFormat="1" applyBorder="1" applyAlignment="1" applyProtection="1">
      <alignment horizontal="right" vertical="center" wrapText="1"/>
    </xf>
    <xf numFmtId="164" fontId="3" fillId="6" borderId="1" xfId="4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0" fontId="0" fillId="0" borderId="0" xfId="0" applyAlignment="1">
      <alignment horizontal="center"/>
    </xf>
    <xf numFmtId="3" fontId="1" fillId="7" borderId="1" xfId="5" applyNumberFormat="1" applyFont="1" applyBorder="1" applyAlignment="1" applyProtection="1">
      <alignment horizontal="center" wrapText="1"/>
    </xf>
    <xf numFmtId="0" fontId="3" fillId="9" borderId="1" xfId="7" applyBorder="1" applyAlignment="1" applyProtection="1">
      <alignment horizontal="center" wrapText="1"/>
    </xf>
    <xf numFmtId="164" fontId="3" fillId="6" borderId="1" xfId="4" applyNumberFormat="1" applyBorder="1" applyAlignment="1" applyProtection="1">
      <alignment horizontal="center" wrapText="1"/>
    </xf>
    <xf numFmtId="0" fontId="3" fillId="6" borderId="1" xfId="4" applyBorder="1" applyAlignment="1" applyProtection="1">
      <alignment horizontal="center" wrapText="1"/>
    </xf>
    <xf numFmtId="164" fontId="3" fillId="4" borderId="1" xfId="2" applyNumberFormat="1" applyBorder="1" applyAlignment="1" applyProtection="1">
      <alignment horizontal="center" wrapText="1"/>
    </xf>
    <xf numFmtId="0" fontId="3" fillId="4" borderId="1" xfId="2" applyBorder="1" applyAlignment="1" applyProtection="1">
      <alignment horizontal="center" wrapText="1"/>
    </xf>
    <xf numFmtId="164" fontId="0" fillId="6" borderId="1" xfId="4" applyNumberFormat="1" applyFont="1" applyBorder="1" applyAlignment="1" applyProtection="1">
      <alignment horizontal="right" vertical="center" wrapText="1"/>
    </xf>
    <xf numFmtId="165" fontId="0" fillId="0" borderId="0" xfId="0" applyNumberFormat="1"/>
    <xf numFmtId="164" fontId="4" fillId="3" borderId="2" xfId="1" applyNumberFormat="1" applyBorder="1" applyAlignment="1" applyProtection="1">
      <alignment horizontal="center" vertical="center" wrapText="1"/>
    </xf>
    <xf numFmtId="164" fontId="4" fillId="3" borderId="0" xfId="1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  <xf numFmtId="3" fontId="4" fillId="8" borderId="3" xfId="6" applyNumberFormat="1" applyBorder="1" applyAlignment="1" applyProtection="1">
      <alignment horizontal="center" vertical="center" wrapText="1"/>
    </xf>
    <xf numFmtId="3" fontId="4" fillId="8" borderId="4" xfId="6" applyNumberFormat="1" applyBorder="1" applyAlignment="1" applyProtection="1">
      <alignment horizontal="center" vertical="center" wrapText="1"/>
    </xf>
    <xf numFmtId="3" fontId="4" fillId="5" borderId="2" xfId="3" applyNumberFormat="1" applyBorder="1" applyAlignment="1" applyProtection="1">
      <alignment horizontal="center" vertical="center" wrapText="1"/>
    </xf>
    <xf numFmtId="3" fontId="4" fillId="5" borderId="0" xfId="3" applyNumberFormat="1" applyBorder="1" applyAlignment="1" applyProtection="1">
      <alignment horizontal="center" vertical="center" wrapText="1"/>
    </xf>
    <xf numFmtId="0" fontId="0" fillId="0" borderId="1" xfId="0" applyFont="1" applyBorder="1" applyAlignment="1">
      <alignment horizontal="left" wrapText="1"/>
    </xf>
    <xf numFmtId="0" fontId="0" fillId="0" borderId="1" xfId="0" applyBorder="1"/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CS%20Terminal%202/Desktop/Domestic/04.%20AIR%20INDIA%20EXPRESS%20(National)/1.01%20air%20india%20expr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R INDIA EXPRESS"/>
    </sheetNames>
    <sheetDataSet>
      <sheetData sheetId="0" refreshError="1">
        <row r="18">
          <cell r="B18">
            <v>186</v>
          </cell>
          <cell r="C18">
            <v>494.3599999999999</v>
          </cell>
          <cell r="D18">
            <v>285.08800000000002</v>
          </cell>
          <cell r="E18">
            <v>17616</v>
          </cell>
          <cell r="F18">
            <v>26.821960000000001</v>
          </cell>
          <cell r="H18">
            <v>50.582306523426233</v>
          </cell>
          <cell r="Q18">
            <v>84.738343560551186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tabSelected="1" zoomScale="85" zoomScaleNormal="85" zoomScaleSheetLayoutView="115" workbookViewId="0">
      <selection activeCell="A19" sqref="A19:L19"/>
    </sheetView>
  </sheetViews>
  <sheetFormatPr defaultRowHeight="15" x14ac:dyDescent="0.25"/>
  <cols>
    <col min="1" max="1" width="64.85546875" customWidth="1"/>
    <col min="2" max="2" width="9.140625" style="9"/>
    <col min="3" max="10" width="9.140625" customWidth="1"/>
    <col min="11" max="12" width="10.85546875" customWidth="1"/>
  </cols>
  <sheetData>
    <row r="1" spans="1:12" x14ac:dyDescent="0.25">
      <c r="A1" s="21" t="s">
        <v>33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5" customHeight="1" x14ac:dyDescent="0.25">
      <c r="A2" s="23" t="s">
        <v>35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A3" s="25" t="s">
        <v>30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 x14ac:dyDescent="0.25">
      <c r="A4" s="4" t="s">
        <v>0</v>
      </c>
      <c r="B4" s="10" t="s">
        <v>1</v>
      </c>
      <c r="C4" s="5" t="s">
        <v>5</v>
      </c>
      <c r="D4" s="5" t="s">
        <v>4</v>
      </c>
      <c r="E4" s="5" t="s">
        <v>3</v>
      </c>
      <c r="F4" s="5" t="s">
        <v>2</v>
      </c>
      <c r="G4" s="5" t="s">
        <v>21</v>
      </c>
      <c r="H4" s="5" t="s">
        <v>23</v>
      </c>
      <c r="I4" s="5" t="s">
        <v>31</v>
      </c>
      <c r="J4" s="5" t="s">
        <v>36</v>
      </c>
      <c r="K4" s="5" t="s">
        <v>34</v>
      </c>
      <c r="L4" s="5" t="s">
        <v>37</v>
      </c>
    </row>
    <row r="5" spans="1:12" ht="20.100000000000001" customHeight="1" x14ac:dyDescent="0.25">
      <c r="A5" s="27" t="s">
        <v>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20.100000000000001" customHeight="1" x14ac:dyDescent="0.25">
      <c r="A6" s="1" t="s">
        <v>7</v>
      </c>
      <c r="B6" s="11" t="s">
        <v>8</v>
      </c>
      <c r="C6" s="6">
        <v>81.507349887364384</v>
      </c>
      <c r="D6" s="6">
        <v>82.431702926288338</v>
      </c>
      <c r="E6" s="6">
        <v>76.064325788663396</v>
      </c>
      <c r="F6" s="6">
        <v>76.475485905319331</v>
      </c>
      <c r="G6" s="6">
        <v>80.162968593907351</v>
      </c>
      <c r="H6" s="6">
        <v>84.2</v>
      </c>
      <c r="I6" s="6">
        <v>66.069178404465077</v>
      </c>
      <c r="J6" s="6">
        <v>59.984180283623864</v>
      </c>
      <c r="K6" s="6">
        <v>75.014501302727282</v>
      </c>
      <c r="L6" s="6">
        <v>79.016655191325839</v>
      </c>
    </row>
    <row r="7" spans="1:12" ht="20.100000000000001" customHeight="1" x14ac:dyDescent="0.25">
      <c r="A7" s="1" t="s">
        <v>9</v>
      </c>
      <c r="B7" s="11" t="s">
        <v>8</v>
      </c>
      <c r="C7" s="6">
        <v>82.941274291418921</v>
      </c>
      <c r="D7" s="6">
        <v>82.545860633296115</v>
      </c>
      <c r="E7" s="6">
        <v>77.655541102521397</v>
      </c>
      <c r="F7" s="6">
        <v>78.768785895598839</v>
      </c>
      <c r="G7" s="6">
        <v>80.16955794996764</v>
      </c>
      <c r="H7" s="6">
        <v>87.2</v>
      </c>
      <c r="I7" s="6">
        <v>79.781353314209497</v>
      </c>
      <c r="J7" s="6">
        <v>78.112418261872222</v>
      </c>
      <c r="K7" s="6">
        <v>71.488897265643487</v>
      </c>
      <c r="L7" s="6">
        <v>69.757582649876397</v>
      </c>
    </row>
    <row r="8" spans="1:12" ht="20.100000000000001" customHeight="1" x14ac:dyDescent="0.25">
      <c r="A8" s="1" t="s">
        <v>10</v>
      </c>
      <c r="B8" s="11" t="s">
        <v>11</v>
      </c>
      <c r="C8" s="6">
        <v>662.74968813047701</v>
      </c>
      <c r="D8" s="6">
        <v>671.39582631744759</v>
      </c>
      <c r="E8" s="6">
        <v>668.77212197449478</v>
      </c>
      <c r="F8" s="6">
        <v>677.85847910321002</v>
      </c>
      <c r="G8" s="6">
        <v>669.15706681827476</v>
      </c>
      <c r="H8" s="6">
        <v>668.6</v>
      </c>
      <c r="I8" s="6">
        <v>672.43281323035842</v>
      </c>
      <c r="J8" s="6">
        <v>679.48564058998204</v>
      </c>
      <c r="K8" s="6">
        <v>664.19764391462115</v>
      </c>
      <c r="L8" s="6">
        <v>666.5546649630943</v>
      </c>
    </row>
    <row r="9" spans="1:12" ht="20.100000000000001" customHeight="1" x14ac:dyDescent="0.25">
      <c r="A9" s="1" t="s">
        <v>12</v>
      </c>
      <c r="B9" s="11" t="s">
        <v>13</v>
      </c>
      <c r="C9" s="6">
        <v>2350.6309062107389</v>
      </c>
      <c r="D9" s="6">
        <v>2418.3753326029114</v>
      </c>
      <c r="E9" s="6">
        <v>2574.1501794807582</v>
      </c>
      <c r="F9" s="6">
        <v>2618.5385193536263</v>
      </c>
      <c r="G9" s="6">
        <v>2664.0215785871251</v>
      </c>
      <c r="H9" s="6">
        <v>2648.4</v>
      </c>
      <c r="I9" s="6">
        <v>2504.6240065723396</v>
      </c>
      <c r="J9" s="6">
        <v>2544.0658085569253</v>
      </c>
      <c r="K9" s="6">
        <v>2575.5053289708121</v>
      </c>
      <c r="L9" s="6">
        <v>2686.5011756096137</v>
      </c>
    </row>
    <row r="10" spans="1:12" ht="20.100000000000001" customHeight="1" x14ac:dyDescent="0.25">
      <c r="A10" s="1" t="s">
        <v>14</v>
      </c>
      <c r="B10" s="11" t="s">
        <v>15</v>
      </c>
      <c r="C10" s="6">
        <v>130.66914295078385</v>
      </c>
      <c r="D10" s="6">
        <v>137.46496582668127</v>
      </c>
      <c r="E10" s="6">
        <v>138.15351865765089</v>
      </c>
      <c r="F10" s="6">
        <v>141.25727170236752</v>
      </c>
      <c r="G10" s="6">
        <v>149.44439641197448</v>
      </c>
      <c r="H10" s="6">
        <v>157.4</v>
      </c>
      <c r="I10" s="6">
        <v>112.14248000621166</v>
      </c>
      <c r="J10" s="6">
        <v>103.05978063814358</v>
      </c>
      <c r="K10" s="6">
        <v>132.75732935955165</v>
      </c>
      <c r="L10" s="6">
        <v>145.99824361113551</v>
      </c>
    </row>
    <row r="11" spans="1:12" ht="29.25" customHeight="1" x14ac:dyDescent="0.25">
      <c r="A11" s="1" t="s">
        <v>16</v>
      </c>
      <c r="B11" s="11" t="s">
        <v>17</v>
      </c>
      <c r="C11" s="6">
        <v>2.7278279880944418</v>
      </c>
      <c r="D11" s="6">
        <v>2.6972040666603156</v>
      </c>
      <c r="E11" s="6">
        <v>2.6361088371126224</v>
      </c>
      <c r="F11" s="6">
        <v>2.6368377461121146</v>
      </c>
      <c r="G11" s="6">
        <v>2.6579372810465269</v>
      </c>
      <c r="H11" s="6">
        <v>2.6</v>
      </c>
      <c r="I11" s="6">
        <v>2.7379617041812443</v>
      </c>
      <c r="J11" s="6">
        <v>2.7541576754763053</v>
      </c>
      <c r="K11" s="6">
        <v>2.7068371476342863</v>
      </c>
      <c r="L11" s="6">
        <v>2.711992477713042</v>
      </c>
    </row>
    <row r="12" spans="1:12" ht="20.100000000000001" customHeight="1" x14ac:dyDescent="0.25">
      <c r="A12" s="29" t="s">
        <v>18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</row>
    <row r="13" spans="1:12" ht="20.100000000000001" customHeight="1" x14ac:dyDescent="0.25">
      <c r="A13" s="2" t="s">
        <v>7</v>
      </c>
      <c r="B13" s="12" t="s">
        <v>8</v>
      </c>
      <c r="C13" s="7">
        <v>73.474948347107443</v>
      </c>
      <c r="D13" s="7">
        <v>76.072923774921151</v>
      </c>
      <c r="E13" s="7">
        <v>59.280054914379186</v>
      </c>
      <c r="F13" s="7">
        <v>60.679553097487016</v>
      </c>
      <c r="G13" s="7">
        <v>64.144071646566331</v>
      </c>
      <c r="H13" s="7">
        <v>61.8</v>
      </c>
      <c r="I13" s="7">
        <v>28.604078508247593</v>
      </c>
      <c r="J13" s="7">
        <f>'[1]AIR INDIA EXPRESS'!$H$18</f>
        <v>50.582306523426233</v>
      </c>
      <c r="K13" s="7">
        <v>55.251770259638086</v>
      </c>
      <c r="L13" s="7">
        <v>81.423691142224996</v>
      </c>
    </row>
    <row r="14" spans="1:12" ht="20.100000000000001" customHeight="1" x14ac:dyDescent="0.25">
      <c r="A14" s="2" t="s">
        <v>9</v>
      </c>
      <c r="B14" s="12" t="s">
        <v>8</v>
      </c>
      <c r="C14" s="7">
        <v>60.054567572789388</v>
      </c>
      <c r="D14" s="7">
        <v>63.288575334864802</v>
      </c>
      <c r="E14" s="7">
        <v>53.272193545640398</v>
      </c>
      <c r="F14" s="7">
        <v>53.728101291797948</v>
      </c>
      <c r="G14" s="7">
        <v>54.75559628146258</v>
      </c>
      <c r="H14" s="7">
        <v>60.7</v>
      </c>
      <c r="I14" s="7">
        <v>84.885184284824987</v>
      </c>
      <c r="J14" s="16">
        <f>'[1]AIR INDIA EXPRESS'!$Q$18</f>
        <v>84.738343560551186</v>
      </c>
      <c r="K14" s="7">
        <v>79.871023755133294</v>
      </c>
      <c r="L14" s="7">
        <v>53.780000814834771</v>
      </c>
    </row>
    <row r="15" spans="1:12" ht="20.100000000000001" customHeight="1" x14ac:dyDescent="0.25">
      <c r="A15" s="2" t="s">
        <v>10</v>
      </c>
      <c r="B15" s="12" t="s">
        <v>11</v>
      </c>
      <c r="C15" s="7">
        <v>507.99289520426288</v>
      </c>
      <c r="D15" s="7">
        <v>431.50184771304026</v>
      </c>
      <c r="E15" s="7">
        <v>317.83752860411897</v>
      </c>
      <c r="F15" s="7">
        <v>435.35367449548863</v>
      </c>
      <c r="G15" s="7">
        <v>467.36120728365375</v>
      </c>
      <c r="H15" s="7">
        <v>510.4</v>
      </c>
      <c r="I15" s="7">
        <v>574.85582417961939</v>
      </c>
      <c r="J15" s="7">
        <f>'[1]AIR INDIA EXPRESS'!$D$18/'[1]AIR INDIA EXPRESS'!$C$18*1000</f>
        <v>576.68096124281919</v>
      </c>
      <c r="K15" s="7">
        <v>454.32697732437532</v>
      </c>
      <c r="L15" s="7">
        <v>440.36914001383315</v>
      </c>
    </row>
    <row r="16" spans="1:12" ht="20.100000000000001" customHeight="1" x14ac:dyDescent="0.25">
      <c r="A16" s="2" t="s">
        <v>12</v>
      </c>
      <c r="B16" s="12" t="s">
        <v>13</v>
      </c>
      <c r="C16" s="7">
        <v>705.012325390304</v>
      </c>
      <c r="D16" s="7">
        <v>626.33832976445399</v>
      </c>
      <c r="E16" s="7">
        <v>277.09725685785537</v>
      </c>
      <c r="F16" s="7">
        <v>564.36607142857144</v>
      </c>
      <c r="G16" s="7">
        <v>720.34993531694693</v>
      </c>
      <c r="H16" s="7">
        <v>758.9</v>
      </c>
      <c r="I16" s="7">
        <v>1507.9449729394653</v>
      </c>
      <c r="J16" s="7">
        <f>'[1]AIR INDIA EXPRESS'!$D$18/'[1]AIR INDIA EXPRESS'!$B$18*1000</f>
        <v>1532.7311827956992</v>
      </c>
      <c r="K16" s="7">
        <v>712</v>
      </c>
      <c r="L16" s="7">
        <v>784.49598988961111</v>
      </c>
    </row>
    <row r="17" spans="1:13" ht="20.100000000000001" customHeight="1" x14ac:dyDescent="0.25">
      <c r="A17" s="2" t="s">
        <v>14</v>
      </c>
      <c r="B17" s="12" t="s">
        <v>15</v>
      </c>
      <c r="C17" s="7">
        <v>157.02136400986032</v>
      </c>
      <c r="D17" s="7">
        <v>159.76124197002142</v>
      </c>
      <c r="E17" s="7">
        <v>55.302244389027429</v>
      </c>
      <c r="F17" s="7">
        <v>58.387053571428574</v>
      </c>
      <c r="G17" s="7">
        <v>62.768434670116427</v>
      </c>
      <c r="H17" s="7">
        <v>53.7</v>
      </c>
      <c r="I17" s="7">
        <v>50.452328159645234</v>
      </c>
      <c r="J17" s="7">
        <f>'[1]AIR INDIA EXPRESS'!$E$18/'[1]AIR INDIA EXPRESS'!$B$18</f>
        <v>94.709677419354833</v>
      </c>
      <c r="K17" s="7">
        <v>103.45121951219512</v>
      </c>
      <c r="L17" s="7">
        <v>140.75466831734241</v>
      </c>
    </row>
    <row r="18" spans="1:13" ht="29.25" customHeight="1" x14ac:dyDescent="0.25">
      <c r="A18" s="2" t="s">
        <v>19</v>
      </c>
      <c r="B18" s="13" t="s">
        <v>17</v>
      </c>
      <c r="C18" s="7">
        <v>0.5955048536068448</v>
      </c>
      <c r="D18" s="7">
        <v>0.55285255701428127</v>
      </c>
      <c r="E18" s="7">
        <v>0.5524402738070544</v>
      </c>
      <c r="F18" s="7">
        <v>1.0909335255032993</v>
      </c>
      <c r="G18" s="7">
        <v>1.3692142570074197</v>
      </c>
      <c r="H18" s="7">
        <v>1.5</v>
      </c>
      <c r="I18" s="7">
        <v>1.687631932846972</v>
      </c>
      <c r="J18" s="7">
        <f>'[1]AIR INDIA EXPRESS'!$F$18/'[1]AIR INDIA EXPRESS'!$E$18*1000</f>
        <v>1.5225908265213444</v>
      </c>
      <c r="K18" s="7">
        <v>0.7072997760226335</v>
      </c>
      <c r="L18" s="7">
        <v>0.91350164116584298</v>
      </c>
    </row>
    <row r="19" spans="1:13" ht="20.100000000000001" customHeight="1" x14ac:dyDescent="0.25">
      <c r="A19" s="18" t="s">
        <v>20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1:13" ht="20.100000000000001" customHeight="1" x14ac:dyDescent="0.25">
      <c r="A20" s="3" t="s">
        <v>7</v>
      </c>
      <c r="B20" s="14" t="s">
        <v>8</v>
      </c>
      <c r="C20" s="8">
        <v>81.354906421379809</v>
      </c>
      <c r="D20" s="8">
        <v>82.352712070951227</v>
      </c>
      <c r="E20" s="8">
        <v>75.914479215451351</v>
      </c>
      <c r="F20" s="8">
        <v>76.194010639694028</v>
      </c>
      <c r="G20" s="8">
        <v>79.694601396454729</v>
      </c>
      <c r="H20" s="8">
        <v>83.5</v>
      </c>
      <c r="I20" s="8">
        <v>65.247276228575018</v>
      </c>
      <c r="J20" s="8">
        <v>59.935463567087233</v>
      </c>
      <c r="K20" s="8">
        <v>74.999998999896533</v>
      </c>
      <c r="L20" s="8">
        <v>79.214224286992177</v>
      </c>
    </row>
    <row r="21" spans="1:13" ht="20.100000000000001" customHeight="1" x14ac:dyDescent="0.25">
      <c r="A21" s="3" t="s">
        <v>9</v>
      </c>
      <c r="B21" s="14" t="s">
        <v>8</v>
      </c>
      <c r="C21" s="8">
        <v>82.098757877637979</v>
      </c>
      <c r="D21" s="8">
        <v>82.215588607347058</v>
      </c>
      <c r="E21" s="8">
        <v>77.438070318932617</v>
      </c>
      <c r="F21" s="8">
        <v>78.271655546726294</v>
      </c>
      <c r="G21" s="8">
        <v>79.410479392254103</v>
      </c>
      <c r="H21" s="8">
        <v>86.5</v>
      </c>
      <c r="I21" s="8">
        <v>79.843634893589311</v>
      </c>
      <c r="J21" s="8">
        <v>78.137651532089961</v>
      </c>
      <c r="K21" s="8">
        <v>71.49155014464877</v>
      </c>
      <c r="L21" s="8">
        <v>68.34506701740942</v>
      </c>
    </row>
    <row r="22" spans="1:13" ht="20.100000000000001" customHeight="1" x14ac:dyDescent="0.25">
      <c r="A22" s="3" t="s">
        <v>10</v>
      </c>
      <c r="B22" s="14" t="s">
        <v>11</v>
      </c>
      <c r="C22" s="8">
        <v>658.82617832482742</v>
      </c>
      <c r="D22" s="8">
        <v>666.77576458033946</v>
      </c>
      <c r="E22" s="8">
        <v>662.24373164190547</v>
      </c>
      <c r="F22" s="8">
        <v>671.19618229828427</v>
      </c>
      <c r="G22" s="8">
        <v>660.81462354256553</v>
      </c>
      <c r="H22" s="8">
        <v>662.2</v>
      </c>
      <c r="I22" s="8">
        <v>670.08429399526335</v>
      </c>
      <c r="J22" s="8">
        <v>678.85991892935431</v>
      </c>
      <c r="K22" s="8">
        <v>663.97257092666621</v>
      </c>
      <c r="L22" s="8">
        <v>641.34876248639625</v>
      </c>
      <c r="M22" s="17"/>
    </row>
    <row r="23" spans="1:13" ht="20.100000000000001" customHeight="1" x14ac:dyDescent="0.25">
      <c r="A23" s="3" t="s">
        <v>12</v>
      </c>
      <c r="B23" s="14" t="s">
        <v>13</v>
      </c>
      <c r="C23" s="8">
        <v>2248.0536775250971</v>
      </c>
      <c r="D23" s="8">
        <v>2335.1077060842745</v>
      </c>
      <c r="E23" s="8">
        <v>2396.7596194584603</v>
      </c>
      <c r="F23" s="8">
        <v>2459.0464471403807</v>
      </c>
      <c r="G23" s="8">
        <v>2469.2197011442095</v>
      </c>
      <c r="H23" s="8">
        <v>2458.5</v>
      </c>
      <c r="I23" s="8">
        <v>2470.9029079850611</v>
      </c>
      <c r="J23" s="8">
        <v>2535.283724274288</v>
      </c>
      <c r="K23" s="8">
        <v>2570.5682530451368</v>
      </c>
      <c r="L23" s="8">
        <v>2266.103121494049</v>
      </c>
    </row>
    <row r="24" spans="1:13" ht="20.100000000000001" customHeight="1" x14ac:dyDescent="0.25">
      <c r="A24" s="3" t="s">
        <v>14</v>
      </c>
      <c r="B24" s="14" t="s">
        <v>15</v>
      </c>
      <c r="C24" s="8">
        <v>132.3117701290719</v>
      </c>
      <c r="D24" s="8">
        <v>138.50097010099</v>
      </c>
      <c r="E24" s="8">
        <v>131.75530562723876</v>
      </c>
      <c r="F24" s="8">
        <v>134.82298093587522</v>
      </c>
      <c r="G24" s="8">
        <v>140.7574146705131</v>
      </c>
      <c r="H24" s="8">
        <v>147</v>
      </c>
      <c r="I24" s="8">
        <v>110.05528882220555</v>
      </c>
      <c r="J24" s="8">
        <v>102.9839130044037</v>
      </c>
      <c r="K24" s="8">
        <v>132.67968724758489</v>
      </c>
      <c r="L24" s="8">
        <v>144.83926209695809</v>
      </c>
    </row>
    <row r="25" spans="1:13" ht="32.25" customHeight="1" x14ac:dyDescent="0.25">
      <c r="A25" s="3" t="s">
        <v>19</v>
      </c>
      <c r="B25" s="15" t="s">
        <v>17</v>
      </c>
      <c r="C25" s="8">
        <v>2.5700904479039042</v>
      </c>
      <c r="D25" s="8">
        <v>2.5822713153123122</v>
      </c>
      <c r="E25" s="8">
        <v>2.5685685678896784</v>
      </c>
      <c r="F25" s="8">
        <v>2.5848576092973055</v>
      </c>
      <c r="G25" s="8">
        <v>2.6003402836195773</v>
      </c>
      <c r="H25" s="8">
        <v>2.6</v>
      </c>
      <c r="I25" s="8">
        <v>2.7216709060507673</v>
      </c>
      <c r="J25" s="8">
        <v>2.744441588373177</v>
      </c>
      <c r="K25" s="8">
        <v>2.7027066738681369</v>
      </c>
      <c r="L25" s="8">
        <v>2.3256844492277047</v>
      </c>
    </row>
    <row r="26" spans="1:13" ht="20.100000000000001" customHeight="1" x14ac:dyDescent="0.25">
      <c r="A26" s="20" t="s">
        <v>22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1:13" x14ac:dyDescent="0.25">
      <c r="A27" s="32" t="s">
        <v>24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</row>
    <row r="28" spans="1:13" x14ac:dyDescent="0.25">
      <c r="A28" s="32" t="s">
        <v>25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</row>
    <row r="29" spans="1:13" x14ac:dyDescent="0.25">
      <c r="A29" s="32" t="s">
        <v>26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</row>
    <row r="30" spans="1:13" x14ac:dyDescent="0.25">
      <c r="A30" s="32" t="s">
        <v>27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</row>
    <row r="31" spans="1:13" x14ac:dyDescent="0.25">
      <c r="A31" s="32" t="s">
        <v>28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</row>
    <row r="32" spans="1:13" x14ac:dyDescent="0.25">
      <c r="A32" s="32" t="s">
        <v>29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</row>
    <row r="33" spans="1:12" ht="15" customHeight="1" x14ac:dyDescent="0.25">
      <c r="A33" s="31" t="s">
        <v>32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</row>
  </sheetData>
  <mergeCells count="14">
    <mergeCell ref="A33:L33"/>
    <mergeCell ref="A32:L32"/>
    <mergeCell ref="A27:L27"/>
    <mergeCell ref="A28:L28"/>
    <mergeCell ref="A29:L29"/>
    <mergeCell ref="A30:L30"/>
    <mergeCell ref="A31:L31"/>
    <mergeCell ref="A19:L19"/>
    <mergeCell ref="A26:L26"/>
    <mergeCell ref="A1:L1"/>
    <mergeCell ref="A2:L2"/>
    <mergeCell ref="A3:L3"/>
    <mergeCell ref="A5:L5"/>
    <mergeCell ref="A12:L12"/>
  </mergeCells>
  <phoneticPr fontId="5" type="noConversion"/>
  <pageMargins left="0.25" right="0.25" top="0.75" bottom="0.75" header="0.3" footer="0.3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2022-04-25T07:05:37Z</cp:lastPrinted>
  <dcterms:created xsi:type="dcterms:W3CDTF">2018-10-29T04:00:17Z</dcterms:created>
  <dcterms:modified xsi:type="dcterms:W3CDTF">2024-11-21T10:10:14Z</dcterms:modified>
</cp:coreProperties>
</file>