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xWindow="0" yWindow="0" windowWidth="24000" windowHeight="10725"/>
  </bookViews>
  <sheets>
    <sheet name="2.01" sheetId="1" r:id="rId1"/>
  </sheets>
  <definedNames>
    <definedName name="_xlnm.Print_Area" localSheetId="0">'2.01'!$A$1:$Q$19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B18" i="1" l="1"/>
  <c r="P18" i="1" l="1"/>
  <c r="N18" i="1"/>
  <c r="M18" i="1"/>
  <c r="L18" i="1"/>
  <c r="K18" i="1"/>
  <c r="J18" i="1"/>
  <c r="I18" i="1"/>
  <c r="G18" i="1"/>
  <c r="F18" i="1"/>
  <c r="E18" i="1"/>
  <c r="D18" i="1"/>
  <c r="C18" i="1"/>
  <c r="H18" i="1" l="1"/>
  <c r="O18" i="1"/>
  <c r="Q18" i="1" s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<sst xmlns="http://schemas.openxmlformats.org/spreadsheetml/2006/main" count="26" uniqueCount="24">
  <si>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</si>
  <si>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</si>
  <si>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</si>
  <si>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</si>
  <si>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</si>
  <si>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</si>
  <si>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</si>
  <si>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</si>
  <si>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</si>
  <si>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</si>
  <si>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</si>
  <si>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</si>
  <si>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</si>
  <si>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</si>
  <si>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</si>
  <si>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</si>
  <si>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</si>
  <si>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</si>
  <si>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</si>
  <si>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</si>
  <si>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2023-24</t>
  </si>
  <si>
    <t>MONTHLY TRAFFIC AND OPERATING STATISTICS OF ALL SCHEDULED INDIAN AIRLINES ON SCHEDULED DOMESTIC SERVICES DURING 2023-24</t>
  </si>
  <si>
    <t>Table 2.01 (ALL SCHEDULED INDIAN AIRLINES)</t>
  </si>
  <si>
    <t xml:space="preserve">तालिका 2.01 (सभी अनुसूचित भारतीय एयरलाइन्स)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</si>
</sst>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3" fontId="0" fillId="0" borderId="0" xfId="0" applyNumberFormat="1" applyFont="1"/>
    <xf numFmtId="17" fontId="3" fillId="5" borderId="1" xfId="3" applyNumberFormat="1" applyFont="1" applyFill="1" applyBorder="1" applyAlignment="1" applyProtection="1">
      <alignment horizontal="center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4" fontId="4" fillId="4" borderId="1" xfId="3" applyNumberFormat="1" applyFont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0" fillId="4" borderId="1" xfId="3" quotePrefix="1" applyFont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1"/>
  <sheetViews>
    <sheetView tabSelected="1" view="pageBreakPreview" zoomScale="85" zoomScaleNormal="100" zoomScaleSheetLayoutView="85" workbookViewId="0">
      <selection activeCell="D11" sqref="D11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14.570312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140625" style="1" customWidth="1"/>
    <col min="13" max="13" width="10.28515625" style="1" customWidth="1"/>
    <col min="14" max="14" width="8.28515625" style="1" customWidth="1"/>
    <col min="15" max="15" width="10.5703125" style="1" customWidth="1"/>
    <col min="16" max="16" width="14.28515625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8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75" customHeight="1" x14ac:dyDescent="0.25">
      <c r="A2" s="20" t="s">
        <v>22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x14ac:dyDescent="0.25">
      <c r="A3" s="22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1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6" t="s">
        <v>3</v>
      </c>
      <c r="H4" s="16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6" t="s">
        <v>7</v>
      </c>
      <c r="Q4" s="16" t="s">
        <v>8</v>
      </c>
    </row>
    <row r="5" spans="1:17" ht="115.5" customHeight="1" x14ac:dyDescent="0.25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7"/>
      <c r="H5" s="17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7"/>
      <c r="Q5" s="17"/>
    </row>
    <row r="6" spans="1:17" ht="30" customHeight="1" x14ac:dyDescent="0.25">
      <c r="A6" s="9">
        <v>45017</v>
      </c>
      <c r="B6" s="3">
        <v>88734</v>
      </c>
      <c r="C6" s="3">
        <v>155009.00666666665</v>
      </c>
      <c r="D6" s="3">
        <v>80144.48539999999</v>
      </c>
      <c r="E6" s="3">
        <v>12888410</v>
      </c>
      <c r="F6" s="3">
        <v>12404.425442999998</v>
      </c>
      <c r="G6" s="3">
        <v>14042.821755999999</v>
      </c>
      <c r="H6" s="6">
        <f t="shared" ref="H6:H17" si="0">F6/G6*100</f>
        <v>88.332855451220311</v>
      </c>
      <c r="I6" s="6">
        <v>55893.541830000009</v>
      </c>
      <c r="J6" s="6">
        <v>3176.8496143527477</v>
      </c>
      <c r="K6" s="6">
        <v>59070.391444352754</v>
      </c>
      <c r="L6" s="6">
        <v>1087.7907568960002</v>
      </c>
      <c r="M6" s="6">
        <v>114.94030914866998</v>
      </c>
      <c r="N6" s="6">
        <v>3.0190375449198639</v>
      </c>
      <c r="O6" s="6">
        <v>1205.7501035895898</v>
      </c>
      <c r="P6" s="6">
        <v>1671.7075990000001</v>
      </c>
      <c r="Q6" s="6">
        <f t="shared" ref="Q6:Q17" si="1">O6/P6*100</f>
        <v>72.126854260329878</v>
      </c>
    </row>
    <row r="7" spans="1:17" ht="30" customHeight="1" x14ac:dyDescent="0.25">
      <c r="A7" s="12">
        <v>45047</v>
      </c>
      <c r="B7" s="4">
        <v>88177</v>
      </c>
      <c r="C7" s="4">
        <v>150782.76666666669</v>
      </c>
      <c r="D7" s="4">
        <v>79182.491000000009</v>
      </c>
      <c r="E7" s="4">
        <v>13214554</v>
      </c>
      <c r="F7" s="4">
        <v>12692.080808999999</v>
      </c>
      <c r="G7" s="4">
        <v>13846.972478000002</v>
      </c>
      <c r="H7" s="7">
        <f t="shared" si="0"/>
        <v>91.659608836264468</v>
      </c>
      <c r="I7" s="7">
        <v>61010.19687</v>
      </c>
      <c r="J7" s="7">
        <v>3274.5818290079919</v>
      </c>
      <c r="K7" s="7">
        <v>64284.778699007991</v>
      </c>
      <c r="L7" s="7">
        <v>1113.2997323509999</v>
      </c>
      <c r="M7" s="7">
        <v>83.793325033589582</v>
      </c>
      <c r="N7" s="7">
        <v>3.7708011087612161</v>
      </c>
      <c r="O7" s="7">
        <v>1200.8638584933506</v>
      </c>
      <c r="P7" s="7">
        <v>1542.228578</v>
      </c>
      <c r="Q7" s="7">
        <f t="shared" si="1"/>
        <v>77.86549125231879</v>
      </c>
    </row>
    <row r="8" spans="1:17" ht="30" customHeight="1" x14ac:dyDescent="0.25">
      <c r="A8" s="9">
        <v>45078</v>
      </c>
      <c r="B8" s="3">
        <v>84316</v>
      </c>
      <c r="C8" s="3">
        <v>145280.27066666668</v>
      </c>
      <c r="D8" s="3">
        <v>76002.286399999997</v>
      </c>
      <c r="E8" s="3">
        <v>12486601</v>
      </c>
      <c r="F8" s="3">
        <v>12088.470697000001</v>
      </c>
      <c r="G8" s="3">
        <v>13309.594444</v>
      </c>
      <c r="H8" s="6">
        <f t="shared" si="0"/>
        <v>90.825236996229549</v>
      </c>
      <c r="I8" s="6">
        <v>59331.847930000004</v>
      </c>
      <c r="J8" s="6">
        <v>3602.8809244917829</v>
      </c>
      <c r="K8" s="6">
        <v>62934.728854491783</v>
      </c>
      <c r="L8" s="6">
        <v>1062.1806369920002</v>
      </c>
      <c r="M8" s="6">
        <v>134.61752123851778</v>
      </c>
      <c r="N8" s="6">
        <v>4.3113082731592565</v>
      </c>
      <c r="O8" s="6">
        <v>1201.1094665036771</v>
      </c>
      <c r="P8" s="6">
        <v>1603.8834810000001</v>
      </c>
      <c r="Q8" s="6">
        <f t="shared" si="1"/>
        <v>74.887576356531909</v>
      </c>
    </row>
    <row r="9" spans="1:17" ht="30" customHeight="1" x14ac:dyDescent="0.25">
      <c r="A9" s="12">
        <v>45108</v>
      </c>
      <c r="B9" s="4">
        <v>87086</v>
      </c>
      <c r="C9" s="4">
        <v>151799.96499999889</v>
      </c>
      <c r="D9" s="4">
        <v>78682.306668000005</v>
      </c>
      <c r="E9" s="4">
        <v>12100030</v>
      </c>
      <c r="F9" s="4">
        <v>11606.077749999999</v>
      </c>
      <c r="G9" s="4">
        <v>13795.622275</v>
      </c>
      <c r="H9" s="7">
        <f t="shared" si="0"/>
        <v>84.128700530110734</v>
      </c>
      <c r="I9" s="7">
        <v>61338.889729999988</v>
      </c>
      <c r="J9" s="7">
        <v>3835.8547577114132</v>
      </c>
      <c r="K9" s="7">
        <v>65174.74448771141</v>
      </c>
      <c r="L9" s="7">
        <v>1020.1409216010001</v>
      </c>
      <c r="M9" s="7">
        <v>127.5999837472939</v>
      </c>
      <c r="N9" s="7">
        <v>4.6390204055305801</v>
      </c>
      <c r="O9" s="7">
        <v>1152.3799257538244</v>
      </c>
      <c r="P9" s="7">
        <v>1635.4939690000001</v>
      </c>
      <c r="Q9" s="7">
        <f t="shared" si="1"/>
        <v>70.460664948732955</v>
      </c>
    </row>
    <row r="10" spans="1:17" ht="30" customHeight="1" x14ac:dyDescent="0.25">
      <c r="A10" s="9">
        <v>45139</v>
      </c>
      <c r="B10" s="3">
        <v>88237</v>
      </c>
      <c r="C10" s="3">
        <v>152349.47500000001</v>
      </c>
      <c r="D10" s="3">
        <v>79942.811050000004</v>
      </c>
      <c r="E10" s="3">
        <v>12422673</v>
      </c>
      <c r="F10" s="3">
        <v>11933.920133</v>
      </c>
      <c r="G10" s="3">
        <v>14082.339312</v>
      </c>
      <c r="H10" s="6">
        <f t="shared" si="0"/>
        <v>84.743875776595829</v>
      </c>
      <c r="I10" s="6">
        <v>61685.639960000022</v>
      </c>
      <c r="J10" s="6">
        <v>4094.1746114117382</v>
      </c>
      <c r="K10" s="6">
        <v>65779.814571411756</v>
      </c>
      <c r="L10" s="6">
        <v>1049.9063660730001</v>
      </c>
      <c r="M10" s="6">
        <v>135.71759902548814</v>
      </c>
      <c r="N10" s="6">
        <v>4.9190357712185904</v>
      </c>
      <c r="O10" s="6">
        <v>1190.5430008697067</v>
      </c>
      <c r="P10" s="6">
        <v>1687.3886640000001</v>
      </c>
      <c r="Q10" s="6">
        <f t="shared" si="1"/>
        <v>70.555351370412353</v>
      </c>
    </row>
    <row r="11" spans="1:17" ht="30" customHeight="1" x14ac:dyDescent="0.25">
      <c r="A11" s="12">
        <v>45170</v>
      </c>
      <c r="B11" s="4">
        <v>86276</v>
      </c>
      <c r="C11" s="4">
        <v>150543.59333333338</v>
      </c>
      <c r="D11" s="4">
        <v>78027.747000000003</v>
      </c>
      <c r="E11" s="4">
        <v>12246549</v>
      </c>
      <c r="F11" s="4">
        <v>11790.940548</v>
      </c>
      <c r="G11" s="4">
        <v>13770.425472999999</v>
      </c>
      <c r="H11" s="7">
        <f t="shared" si="0"/>
        <v>85.625099755405358</v>
      </c>
      <c r="I11" s="7">
        <v>57934.166234000018</v>
      </c>
      <c r="J11" s="7">
        <v>3518.6966031135921</v>
      </c>
      <c r="K11" s="7">
        <v>61452.8628371136</v>
      </c>
      <c r="L11" s="7">
        <v>1036.3011710320002</v>
      </c>
      <c r="M11" s="7">
        <v>82.213850529997444</v>
      </c>
      <c r="N11" s="7">
        <v>4.2102117714595657</v>
      </c>
      <c r="O11" s="7">
        <v>1122.7252333334573</v>
      </c>
      <c r="P11" s="7">
        <v>1532.491444</v>
      </c>
      <c r="Q11" s="7">
        <f t="shared" si="1"/>
        <v>73.261435666028902</v>
      </c>
    </row>
    <row r="12" spans="1:17" ht="30" customHeight="1" x14ac:dyDescent="0.25">
      <c r="A12" s="9">
        <v>45200</v>
      </c>
      <c r="B12" s="3">
        <v>90887</v>
      </c>
      <c r="C12" s="3">
        <v>85238.076666666675</v>
      </c>
      <c r="D12" s="3">
        <v>82183.450530000002</v>
      </c>
      <c r="E12" s="3">
        <v>12636742</v>
      </c>
      <c r="F12" s="3">
        <v>12306.501480600002</v>
      </c>
      <c r="G12" s="3">
        <v>14555.249139199997</v>
      </c>
      <c r="H12" s="6">
        <f t="shared" si="0"/>
        <v>84.550263364824858</v>
      </c>
      <c r="I12" s="6">
        <v>61975.203920000007</v>
      </c>
      <c r="J12" s="6">
        <v>3720.7923181535452</v>
      </c>
      <c r="K12" s="6">
        <v>65695.996238153544</v>
      </c>
      <c r="L12" s="6">
        <v>1081.8468417640001</v>
      </c>
      <c r="M12" s="6">
        <v>87.832320134504016</v>
      </c>
      <c r="N12" s="6">
        <v>4.6438057848030088</v>
      </c>
      <c r="O12" s="6">
        <v>1174.3229676833071</v>
      </c>
      <c r="P12" s="6">
        <v>1618.2978089999999</v>
      </c>
      <c r="Q12" s="6">
        <f t="shared" si="1"/>
        <v>72.565319013127777</v>
      </c>
    </row>
    <row r="13" spans="1:17" ht="30" customHeight="1" x14ac:dyDescent="0.25">
      <c r="A13" s="12">
        <v>45231</v>
      </c>
      <c r="B13" s="4">
        <v>89000</v>
      </c>
      <c r="C13" s="4">
        <v>154862.85</v>
      </c>
      <c r="D13" s="4">
        <v>79439.204880000005</v>
      </c>
      <c r="E13" s="4">
        <v>12735394</v>
      </c>
      <c r="F13" s="4">
        <v>12354.535435999998</v>
      </c>
      <c r="G13" s="4">
        <v>14317.028885999998</v>
      </c>
      <c r="H13" s="7">
        <f t="shared" si="0"/>
        <v>86.292592788444836</v>
      </c>
      <c r="I13" s="7">
        <v>59576.811300000016</v>
      </c>
      <c r="J13" s="7">
        <v>3791.1287547124443</v>
      </c>
      <c r="K13" s="7">
        <v>63367.940054712453</v>
      </c>
      <c r="L13" s="7">
        <v>1082.8711919979999</v>
      </c>
      <c r="M13" s="7">
        <v>76.808949933729636</v>
      </c>
      <c r="N13" s="7">
        <v>4.3506050801251028</v>
      </c>
      <c r="O13" s="7">
        <v>1164.0307470118546</v>
      </c>
      <c r="P13" s="7">
        <v>1590.4066459999999</v>
      </c>
      <c r="Q13" s="7">
        <f t="shared" si="1"/>
        <v>73.190762245585745</v>
      </c>
    </row>
    <row r="14" spans="1:17" ht="30" customHeight="1" x14ac:dyDescent="0.25">
      <c r="A14" s="9">
        <v>45261</v>
      </c>
      <c r="B14" s="3">
        <v>91529</v>
      </c>
      <c r="C14" s="3">
        <v>159680.31333333332</v>
      </c>
      <c r="D14" s="3">
        <v>82918.776972000021</v>
      </c>
      <c r="E14" s="3">
        <v>13797352</v>
      </c>
      <c r="F14" s="3">
        <v>13412.434492999999</v>
      </c>
      <c r="G14" s="3">
        <v>14785.876647666668</v>
      </c>
      <c r="H14" s="6">
        <f t="shared" si="0"/>
        <v>90.711121244992881</v>
      </c>
      <c r="I14" s="6">
        <v>59685.813200000004</v>
      </c>
      <c r="J14" s="6">
        <v>4108.778977032387</v>
      </c>
      <c r="K14" s="6">
        <v>63794.592177032398</v>
      </c>
      <c r="L14" s="6">
        <v>1177.0665552920002</v>
      </c>
      <c r="M14" s="6">
        <v>77.150031130239043</v>
      </c>
      <c r="N14" s="6">
        <v>4.6824847548988418</v>
      </c>
      <c r="O14" s="6">
        <v>1258.8990711771378</v>
      </c>
      <c r="P14" s="6">
        <v>1642.5336279999999</v>
      </c>
      <c r="Q14" s="6">
        <f t="shared" si="1"/>
        <v>76.643731958779597</v>
      </c>
    </row>
    <row r="15" spans="1:17" ht="30" customHeight="1" x14ac:dyDescent="0.25">
      <c r="A15" s="12">
        <v>45292</v>
      </c>
      <c r="B15" s="4">
        <v>88285</v>
      </c>
      <c r="C15" s="4">
        <v>153450.08333333331</v>
      </c>
      <c r="D15" s="4">
        <v>79281.123999999996</v>
      </c>
      <c r="E15" s="4">
        <v>13131603</v>
      </c>
      <c r="F15" s="4">
        <v>12586.987421999998</v>
      </c>
      <c r="G15" s="4">
        <v>14112.060751999999</v>
      </c>
      <c r="H15" s="7">
        <f t="shared" si="0"/>
        <v>89.193120999115152</v>
      </c>
      <c r="I15" s="7">
        <v>56124.782088343956</v>
      </c>
      <c r="J15" s="7">
        <v>4089.0852802869754</v>
      </c>
      <c r="K15" s="7">
        <v>60213.867368630927</v>
      </c>
      <c r="L15" s="7">
        <v>1111.569447588</v>
      </c>
      <c r="M15" s="7">
        <v>71.422005095830798</v>
      </c>
      <c r="N15" s="7">
        <v>4.4293650304260419</v>
      </c>
      <c r="O15" s="7">
        <v>1187.4208177142568</v>
      </c>
      <c r="P15" s="7">
        <v>1568.2112649999999</v>
      </c>
      <c r="Q15" s="7">
        <f t="shared" si="1"/>
        <v>75.718166564391879</v>
      </c>
    </row>
    <row r="16" spans="1:17" ht="30" customHeight="1" x14ac:dyDescent="0.25">
      <c r="A16" s="9">
        <v>45323</v>
      </c>
      <c r="B16" s="3">
        <v>86423</v>
      </c>
      <c r="C16" s="3">
        <v>149303.72999999998</v>
      </c>
      <c r="D16" s="3">
        <v>77207.127999999997</v>
      </c>
      <c r="E16" s="3">
        <v>12647306</v>
      </c>
      <c r="F16" s="3">
        <v>12167.513132</v>
      </c>
      <c r="G16" s="3">
        <v>13670.247715</v>
      </c>
      <c r="H16" s="6">
        <f t="shared" si="0"/>
        <v>89.007261504478166</v>
      </c>
      <c r="I16" s="6">
        <v>58452.880960000002</v>
      </c>
      <c r="J16" s="6">
        <v>4358.4839897855882</v>
      </c>
      <c r="K16" s="6">
        <v>62811.364949785588</v>
      </c>
      <c r="L16" s="6">
        <v>1066.9244421930002</v>
      </c>
      <c r="M16" s="6">
        <v>72.146284586750468</v>
      </c>
      <c r="N16" s="6">
        <v>4.6232674063294885</v>
      </c>
      <c r="O16" s="6">
        <v>1143.6939941860801</v>
      </c>
      <c r="P16" s="6">
        <v>1526.0524740000001</v>
      </c>
      <c r="Q16" s="6">
        <f t="shared" si="1"/>
        <v>74.944604702110666</v>
      </c>
    </row>
    <row r="17" spans="1:17" ht="30" customHeight="1" x14ac:dyDescent="0.25">
      <c r="A17" s="12">
        <v>45352</v>
      </c>
      <c r="B17" s="4">
        <v>94150</v>
      </c>
      <c r="C17" s="4">
        <v>163359.28333333335</v>
      </c>
      <c r="D17" s="4">
        <v>84476.78</v>
      </c>
      <c r="E17" s="4">
        <v>13367468</v>
      </c>
      <c r="F17" s="4">
        <v>12907.734492999998</v>
      </c>
      <c r="G17" s="4">
        <v>15001.533429000003</v>
      </c>
      <c r="H17" s="7">
        <f t="shared" si="0"/>
        <v>86.042767255030029</v>
      </c>
      <c r="I17" s="7">
        <v>61873.720249999998</v>
      </c>
      <c r="J17" s="7">
        <v>3940.2718924833266</v>
      </c>
      <c r="K17" s="7">
        <v>65813.99214248333</v>
      </c>
      <c r="L17" s="7">
        <v>1112.0010718839999</v>
      </c>
      <c r="M17" s="7">
        <v>75.208342598338973</v>
      </c>
      <c r="N17" s="7">
        <v>4.2107318575945394</v>
      </c>
      <c r="O17" s="7">
        <v>1191.4201463399336</v>
      </c>
      <c r="P17" s="7">
        <v>1655.6164040000001</v>
      </c>
      <c r="Q17" s="7">
        <f t="shared" si="1"/>
        <v>71.962330372025804</v>
      </c>
    </row>
    <row r="18" spans="1:17" ht="30" customHeight="1" x14ac:dyDescent="0.25">
      <c r="A18" s="2" t="s">
        <v>20</v>
      </c>
      <c r="B18" s="5">
        <f>SUM(B6:B17)</f>
        <v>1063100</v>
      </c>
      <c r="C18" s="5">
        <f t="shared" ref="C18:G18" si="2">SUM(C6:C17)</f>
        <v>1771659.4139999989</v>
      </c>
      <c r="D18" s="5">
        <f t="shared" si="2"/>
        <v>957488.5919</v>
      </c>
      <c r="E18" s="5">
        <f t="shared" si="2"/>
        <v>153674682</v>
      </c>
      <c r="F18" s="5">
        <f t="shared" si="2"/>
        <v>148251.62183659998</v>
      </c>
      <c r="G18" s="5">
        <f t="shared" si="2"/>
        <v>169289.77230686665</v>
      </c>
      <c r="H18" s="8">
        <f t="shared" ref="H18" si="3">F18/G18*100</f>
        <v>87.572698466312886</v>
      </c>
      <c r="I18" s="8">
        <f>SUM(I6:I17)</f>
        <v>714883.49427234405</v>
      </c>
      <c r="J18" s="8">
        <f t="shared" ref="J18:P18" si="4">SUM(J6:J17)</f>
        <v>45511.579552543531</v>
      </c>
      <c r="K18" s="8">
        <f t="shared" si="4"/>
        <v>760395.07382488763</v>
      </c>
      <c r="L18" s="13">
        <f t="shared" si="4"/>
        <v>13001.899135664</v>
      </c>
      <c r="M18" s="13">
        <f t="shared" si="4"/>
        <v>1139.4505222029497</v>
      </c>
      <c r="N18" s="13">
        <f t="shared" si="4"/>
        <v>51.809674789226101</v>
      </c>
      <c r="O18" s="8">
        <f t="shared" si="4"/>
        <v>14193.159332656178</v>
      </c>
      <c r="P18" s="14">
        <f t="shared" si="4"/>
        <v>19274.311960999999</v>
      </c>
      <c r="Q18" s="8">
        <f>O18/P18*100</f>
        <v>73.637696439566184</v>
      </c>
    </row>
    <row r="19" spans="1:17" ht="19.5" customHeight="1" x14ac:dyDescent="0.25">
      <c r="A19" s="15" t="s">
        <v>19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1" spans="1:17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2.01</vt:lpstr>
      <vt:lpstr>'2.01'!Print_Area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2020-05-06T11:10:52Z</cp:lastPrinted>
  <dcterms:created xsi:type="dcterms:W3CDTF">2018-10-29T04:00:07Z</dcterms:created>
  <dcterms:modified xsi:type="dcterms:W3CDTF">2025-01-28T09:44:34Z</dcterms:modified>
</cp:coreProperties>
</file>