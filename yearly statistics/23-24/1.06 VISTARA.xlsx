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VISTARA\"/>
    </mc:Choice>
  </mc:AlternateContent>
  <bookViews>
    <workbookView xWindow="0" yWindow="0" windowWidth="11970" windowHeight="9495"/>
  </bookViews>
  <sheets>
    <sheet name="VISTARA" sheetId="1" r:id="rId1"/>
  </sheets>
  <definedNames>
    <definedName name="_xlnm._FilterDatabase" localSheetId="0" hidden="1">VISTARA!$A$9:$Q$20</definedName>
    <definedName name="_xlnm.Print_Area" localSheetId="0">VISTARA!$A$1:$Q$21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" l="1"/>
  <c r="H14" i="1"/>
  <c r="Q13" i="1" l="1"/>
  <c r="H13" i="1"/>
  <c r="Q17" i="1" l="1"/>
  <c r="P17" i="1"/>
  <c r="O17" i="1"/>
  <c r="M17" i="1"/>
  <c r="L17" i="1"/>
  <c r="K17" i="1"/>
  <c r="I17" i="1"/>
  <c r="H17" i="1"/>
  <c r="G17" i="1"/>
  <c r="F17" i="1"/>
  <c r="E17" i="1"/>
  <c r="D17" i="1"/>
  <c r="C17" i="1"/>
  <c r="B17" i="1" l="1"/>
</calcChain>
</file>

<file path=xl/sharedStrings.xml><?xml version="1.0" encoding="utf-8"?>
<sst xmlns="http://schemas.openxmlformats.org/spreadsheetml/2006/main" count="56" uniqueCount="39">
  <si>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</si>
  <si>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</si>
  <si>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</si>
  <si>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</si>
  <si>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</si>
  <si>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</si>
  <si>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</si>
  <si>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</si>
  <si>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</si>
  <si>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</si>
  <si>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</si>
  <si>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</si>
  <si>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</si>
  <si>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</si>
  <si>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</si>
  <si>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</si>
  <si>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</si>
  <si>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</si>
  <si>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</si>
  <si>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</si>
  <si>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</si>
  <si>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</si>
  <si>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</si>
  <si>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</si>
  <si>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</si>
  <si>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</si>
  <si>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TABLE - 1.06 (VISTARA)</t>
  </si>
  <si>
    <t>SOURCE: ICAO ATR FORM 'A' FURNISHED BY VISTARA</t>
  </si>
  <si>
    <t xml:space="preserve"> तालिका- 1.06 (विस्तारा)</t>
  </si>
  <si>
    <t>2019-20</t>
  </si>
  <si>
    <t>2020-21*</t>
  </si>
  <si>
    <t>* DENOTES that THE INTERNATIONAL OPERATIONS BY SCHEDULED INDIAN OPERATORS WERE CARRIED AS PER DGCA’S CIRCULAR DATED 26.03.2020 UNDER COVID-19 RESTRICTION.</t>
  </si>
  <si>
    <t>YEAR ON YEAR GROWTH AND CAGR FOR LAST TEN YEARS OF  VISTARA ON TOTAL (DOMESTIC + INTERNATIONAL) SCHEDULED SERVICES (ALL AIR TRAFFIC AND OPERATING STATISTICS)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</si>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</sst>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[$-409]m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0" fontId="1" fillId="7" borderId="0" applyNumberFormat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0" fontId="4" fillId="6" borderId="1" xfId="3" applyFont="1" applyFill="1" applyBorder="1" applyAlignment="1" applyProtection="1">
      <alignment horizontal="center" vertical="center" wrapText="1"/>
    </xf>
    <xf numFmtId="164" fontId="3" fillId="6" borderId="1" xfId="1" applyNumberFormat="1" applyFont="1" applyFill="1" applyBorder="1" applyAlignment="1" applyProtection="1">
      <alignment horizontal="right" vertical="center" wrapText="1"/>
    </xf>
    <xf numFmtId="0" fontId="7" fillId="0" borderId="0" xfId="0" applyFont="1" applyBorder="1" applyAlignment="1">
      <alignment wrapText="1"/>
    </xf>
    <xf numFmtId="167" fontId="1" fillId="8" borderId="1" xfId="6" applyNumberFormat="1" applyFill="1" applyBorder="1" applyAlignment="1" applyProtection="1">
      <alignment horizontal="center" vertical="center" wrapText="1"/>
    </xf>
    <xf numFmtId="166" fontId="1" fillId="5" borderId="1" xfId="4" applyNumberFormat="1" applyBorder="1" applyAlignment="1">
      <alignment horizontal="center" vertical="center"/>
    </xf>
    <xf numFmtId="165" fontId="1" fillId="5" borderId="1" xfId="4" applyNumberFormat="1" applyBorder="1" applyAlignment="1">
      <alignment horizontal="center" vertical="center"/>
    </xf>
    <xf numFmtId="166" fontId="0" fillId="5" borderId="1" xfId="4" applyNumberFormat="1" applyFont="1" applyBorder="1" applyAlignment="1">
      <alignment horizontal="center" vertical="center"/>
    </xf>
    <xf numFmtId="167" fontId="1" fillId="9" borderId="1" xfId="6" applyNumberFormat="1" applyFill="1" applyBorder="1" applyAlignment="1" applyProtection="1">
      <alignment horizontal="center" vertical="center" wrapText="1"/>
    </xf>
    <xf numFmtId="166" fontId="1" fillId="9" borderId="1" xfId="4" applyNumberFormat="1" applyFill="1" applyBorder="1" applyAlignment="1">
      <alignment horizontal="center" vertical="center"/>
    </xf>
    <xf numFmtId="166" fontId="0" fillId="9" borderId="1" xfId="5" applyNumberFormat="1" applyFont="1" applyFill="1" applyBorder="1" applyAlignment="1">
      <alignment horizontal="center" vertical="center"/>
    </xf>
    <xf numFmtId="167" fontId="0" fillId="8" borderId="1" xfId="6" applyNumberFormat="1" applyFont="1" applyFill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5" fillId="2" borderId="1" xfId="0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40% - Accent6" xfId="6" builtinId="5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2"/>
  <sheetViews>
    <sheetView tabSelected="1" view="pageBreakPreview" topLeftCell="A13" zoomScaleNormal="100" zoomScaleSheetLayoutView="100" workbookViewId="0">
      <selection activeCell="P15" sqref="P15:P16"/>
    </sheetView>
  </sheetViews>
  <sheetFormatPr defaultColWidth="9.140625" defaultRowHeight="12.75" x14ac:dyDescent="0.2"/>
  <cols>
    <col min="1" max="1" width="12" style="1" customWidth="1"/>
    <col min="2" max="2" width="12.85546875" style="1" customWidth="1"/>
    <col min="3" max="3" width="11.140625" style="1" customWidth="1"/>
    <col min="4" max="4" width="11.85546875" style="1" customWidth="1"/>
    <col min="5" max="5" width="12.85546875" style="1" customWidth="1"/>
    <col min="6" max="6" width="9.85546875" style="1" customWidth="1"/>
    <col min="7" max="7" width="9.7109375" style="1" customWidth="1"/>
    <col min="8" max="8" width="6.85546875" style="1" customWidth="1"/>
    <col min="9" max="9" width="10.5703125" style="1" customWidth="1"/>
    <col min="10" max="10" width="9" style="1" customWidth="1"/>
    <col min="11" max="11" width="10.85546875" style="1" customWidth="1"/>
    <col min="12" max="12" width="10" style="1" customWidth="1"/>
    <col min="13" max="13" width="9.5703125" style="1" customWidth="1"/>
    <col min="14" max="14" width="8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">
      <c r="A1" s="24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21" customHeight="1" x14ac:dyDescent="0.2">
      <c r="A2" s="25" t="s">
        <v>26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21" customHeight="1" x14ac:dyDescent="0.2">
      <c r="A3" s="27" t="s">
        <v>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15" customHeight="1" x14ac:dyDescent="0.2">
      <c r="A4" s="27" t="s">
        <v>0</v>
      </c>
      <c r="B4" s="27" t="s">
        <v>1</v>
      </c>
      <c r="C4" s="27"/>
      <c r="D4" s="27"/>
      <c r="E4" s="27" t="s">
        <v>2</v>
      </c>
      <c r="F4" s="28"/>
      <c r="G4" s="18" t="s">
        <v>3</v>
      </c>
      <c r="H4" s="18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8" t="s">
        <v>7</v>
      </c>
      <c r="Q4" s="18" t="s">
        <v>8</v>
      </c>
    </row>
    <row r="5" spans="1:17" ht="132" customHeight="1" x14ac:dyDescent="0.2">
      <c r="A5" s="27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9"/>
      <c r="H5" s="19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9"/>
      <c r="Q5" s="19"/>
    </row>
    <row r="6" spans="1:17" ht="24.95" customHeight="1" x14ac:dyDescent="0.2">
      <c r="A6" s="9" t="s">
        <v>19</v>
      </c>
      <c r="B6" s="10"/>
      <c r="C6" s="11"/>
      <c r="D6" s="11"/>
      <c r="E6" s="11"/>
      <c r="F6" s="10"/>
      <c r="G6" s="10"/>
      <c r="H6" s="12"/>
      <c r="I6" s="10"/>
      <c r="J6" s="10"/>
      <c r="K6" s="10"/>
      <c r="L6" s="10"/>
      <c r="M6" s="10"/>
      <c r="N6" s="10"/>
      <c r="O6" s="10"/>
      <c r="P6" s="10"/>
      <c r="Q6" s="12"/>
    </row>
    <row r="7" spans="1:17" ht="24.95" customHeight="1" x14ac:dyDescent="0.2">
      <c r="A7" s="13" t="s">
        <v>20</v>
      </c>
      <c r="B7" s="14">
        <v>1304</v>
      </c>
      <c r="C7" s="14">
        <v>1980.64</v>
      </c>
      <c r="D7" s="14">
        <v>1311</v>
      </c>
      <c r="E7" s="14">
        <v>100919</v>
      </c>
      <c r="F7" s="14">
        <v>104.248</v>
      </c>
      <c r="G7" s="14">
        <v>193.96</v>
      </c>
      <c r="H7" s="15">
        <v>53.747164363786347</v>
      </c>
      <c r="I7" s="14">
        <v>1957</v>
      </c>
      <c r="J7" s="14">
        <v>0</v>
      </c>
      <c r="K7" s="14">
        <v>1957</v>
      </c>
      <c r="L7" s="14">
        <v>7.8183809999999996</v>
      </c>
      <c r="M7" s="14">
        <v>2.1248180000000003</v>
      </c>
      <c r="N7" s="14">
        <v>0</v>
      </c>
      <c r="O7" s="14">
        <v>9.9431989999999999</v>
      </c>
      <c r="P7" s="14">
        <v>19.540830000000003</v>
      </c>
      <c r="Q7" s="15">
        <v>50.884220373443704</v>
      </c>
    </row>
    <row r="8" spans="1:17" ht="24.95" customHeight="1" x14ac:dyDescent="0.2">
      <c r="A8" s="9" t="s">
        <v>21</v>
      </c>
      <c r="B8" s="10">
        <v>13920</v>
      </c>
      <c r="C8" s="11">
        <v>20665.93</v>
      </c>
      <c r="D8" s="11">
        <v>14235</v>
      </c>
      <c r="E8" s="11">
        <v>1422611</v>
      </c>
      <c r="F8" s="10">
        <v>1462.2139999999999</v>
      </c>
      <c r="G8" s="10">
        <v>2107.0390000000002</v>
      </c>
      <c r="H8" s="12">
        <v>69.396627210032648</v>
      </c>
      <c r="I8" s="10">
        <v>20414.741699999999</v>
      </c>
      <c r="J8" s="10">
        <v>0</v>
      </c>
      <c r="K8" s="10">
        <v>20414.741699999999</v>
      </c>
      <c r="L8" s="10">
        <v>109.66699999999999</v>
      </c>
      <c r="M8" s="10">
        <v>23.181415000000001</v>
      </c>
      <c r="N8" s="10">
        <v>0</v>
      </c>
      <c r="O8" s="10">
        <v>132.84841499999999</v>
      </c>
      <c r="P8" s="10">
        <v>213.54567000000003</v>
      </c>
      <c r="Q8" s="12">
        <v>62.210774397813815</v>
      </c>
    </row>
    <row r="9" spans="1:17" ht="24.95" customHeight="1" x14ac:dyDescent="0.2">
      <c r="A9" s="13" t="s">
        <v>22</v>
      </c>
      <c r="B9" s="14">
        <v>23982</v>
      </c>
      <c r="C9" s="14">
        <v>40723.776000000005</v>
      </c>
      <c r="D9" s="14">
        <v>26343</v>
      </c>
      <c r="E9" s="14">
        <v>2926586</v>
      </c>
      <c r="F9" s="14">
        <v>3175.2959999999998</v>
      </c>
      <c r="G9" s="14">
        <v>4071.1559999999999</v>
      </c>
      <c r="H9" s="15">
        <v>77.994947872299662</v>
      </c>
      <c r="I9" s="14">
        <v>31381</v>
      </c>
      <c r="J9" s="14">
        <v>0</v>
      </c>
      <c r="K9" s="14">
        <v>31381</v>
      </c>
      <c r="L9" s="14">
        <v>242.20099999999999</v>
      </c>
      <c r="M9" s="14">
        <v>33.417999999999999</v>
      </c>
      <c r="N9" s="14">
        <v>0</v>
      </c>
      <c r="O9" s="14">
        <v>275.61900000000003</v>
      </c>
      <c r="P9" s="14">
        <v>395.17099999999999</v>
      </c>
      <c r="Q9" s="15">
        <v>69.746767854928635</v>
      </c>
    </row>
    <row r="10" spans="1:17" ht="24.95" customHeight="1" x14ac:dyDescent="0.2">
      <c r="A10" s="9" t="s">
        <v>23</v>
      </c>
      <c r="B10" s="10">
        <v>32823</v>
      </c>
      <c r="C10" s="11">
        <v>57063.286600000007</v>
      </c>
      <c r="D10" s="11">
        <v>37197</v>
      </c>
      <c r="E10" s="11">
        <v>4434987</v>
      </c>
      <c r="F10" s="10">
        <v>5048.6270000000004</v>
      </c>
      <c r="G10" s="10">
        <v>5877.7309999999998</v>
      </c>
      <c r="H10" s="12">
        <v>85.89414860938686</v>
      </c>
      <c r="I10" s="10">
        <v>41388.8655</v>
      </c>
      <c r="J10" s="10">
        <v>0</v>
      </c>
      <c r="K10" s="10">
        <v>41388.8655</v>
      </c>
      <c r="L10" s="10">
        <v>378.64299999999997</v>
      </c>
      <c r="M10" s="10">
        <v>51.070999999999998</v>
      </c>
      <c r="N10" s="10">
        <v>0</v>
      </c>
      <c r="O10" s="10">
        <v>429.714</v>
      </c>
      <c r="P10" s="10">
        <v>558.01</v>
      </c>
      <c r="Q10" s="12">
        <v>77.008297342341535</v>
      </c>
    </row>
    <row r="11" spans="1:17" ht="24.95" customHeight="1" x14ac:dyDescent="0.2">
      <c r="A11" s="13" t="s">
        <v>25</v>
      </c>
      <c r="B11" s="14">
        <v>40645</v>
      </c>
      <c r="C11" s="14">
        <v>72019.224999999991</v>
      </c>
      <c r="D11" s="14">
        <v>47251.866000000002</v>
      </c>
      <c r="E11" s="14">
        <v>5438275</v>
      </c>
      <c r="F11" s="14">
        <v>6371.8714829999999</v>
      </c>
      <c r="G11" s="14">
        <v>7563.5130140000001</v>
      </c>
      <c r="H11" s="15">
        <v>84.244867050611518</v>
      </c>
      <c r="I11" s="14">
        <v>53703.477399999996</v>
      </c>
      <c r="J11" s="14">
        <v>0</v>
      </c>
      <c r="K11" s="14">
        <v>53703.477399999996</v>
      </c>
      <c r="L11" s="14">
        <v>557.06781009999997</v>
      </c>
      <c r="M11" s="14">
        <v>69.627595499999998</v>
      </c>
      <c r="N11" s="14">
        <v>0</v>
      </c>
      <c r="O11" s="14">
        <v>626.69540559999996</v>
      </c>
      <c r="P11" s="14">
        <v>795.26014060000011</v>
      </c>
      <c r="Q11" s="15">
        <v>78.803824510452259</v>
      </c>
    </row>
    <row r="12" spans="1:17" ht="24.95" customHeight="1" x14ac:dyDescent="0.2">
      <c r="A12" s="9" t="s">
        <v>29</v>
      </c>
      <c r="B12" s="10">
        <v>62771</v>
      </c>
      <c r="C12" s="11">
        <v>102848.34666666665</v>
      </c>
      <c r="D12" s="11">
        <v>70479.050999999992</v>
      </c>
      <c r="E12" s="11">
        <v>8372892</v>
      </c>
      <c r="F12" s="10">
        <v>9387.9665160000004</v>
      </c>
      <c r="G12" s="10">
        <v>11629.946199</v>
      </c>
      <c r="H12" s="12">
        <v>80.722355506745373</v>
      </c>
      <c r="I12" s="10">
        <v>24133.856660000001</v>
      </c>
      <c r="J12" s="10">
        <v>0</v>
      </c>
      <c r="K12" s="10">
        <v>24133.856660000001</v>
      </c>
      <c r="L12" s="10">
        <v>855.05863061999992</v>
      </c>
      <c r="M12" s="10">
        <v>30.343413709059998</v>
      </c>
      <c r="N12" s="10">
        <v>0</v>
      </c>
      <c r="O12" s="10">
        <v>885.40204432905989</v>
      </c>
      <c r="P12" s="10">
        <v>1180.1885886000009</v>
      </c>
      <c r="Q12" s="12">
        <v>75.022081460673022</v>
      </c>
    </row>
    <row r="13" spans="1:17" ht="24.95" customHeight="1" x14ac:dyDescent="0.2">
      <c r="A13" s="13" t="s">
        <v>30</v>
      </c>
      <c r="B13" s="14">
        <v>30014</v>
      </c>
      <c r="C13" s="14">
        <v>47794.930000000008</v>
      </c>
      <c r="D13" s="14">
        <v>33357.175000000003</v>
      </c>
      <c r="E13" s="14">
        <v>3371361</v>
      </c>
      <c r="F13" s="14">
        <v>3752.9261090000005</v>
      </c>
      <c r="G13" s="14">
        <v>5585.9638959999993</v>
      </c>
      <c r="H13" s="15">
        <f>F13/G13*100</f>
        <v>67.184933144437224</v>
      </c>
      <c r="I13" s="14">
        <v>31527.971000000001</v>
      </c>
      <c r="J13" s="14"/>
      <c r="K13" s="14">
        <v>31527.971000000001</v>
      </c>
      <c r="L13" s="14">
        <v>337.76344525000002</v>
      </c>
      <c r="M13" s="14">
        <v>41.636489486000002</v>
      </c>
      <c r="N13" s="14">
        <v>0</v>
      </c>
      <c r="O13" s="14">
        <v>379.39993473600009</v>
      </c>
      <c r="P13" s="14">
        <v>571.32760110000015</v>
      </c>
      <c r="Q13" s="15">
        <f>O13/P13*100</f>
        <v>66.406722518836133</v>
      </c>
    </row>
    <row r="14" spans="1:17" ht="24.95" customHeight="1" x14ac:dyDescent="0.2">
      <c r="A14" s="16" t="s">
        <v>38</v>
      </c>
      <c r="B14" s="10">
        <v>58331</v>
      </c>
      <c r="C14" s="11">
        <v>87580.860000000015</v>
      </c>
      <c r="D14" s="11">
        <v>71772.563999999998</v>
      </c>
      <c r="E14" s="11">
        <v>7157406</v>
      </c>
      <c r="F14" s="10">
        <v>9067.8328130000009</v>
      </c>
      <c r="G14" s="10">
        <v>12740.964846000001</v>
      </c>
      <c r="H14" s="12">
        <f>F14/G14*100</f>
        <v>71.170691722352785</v>
      </c>
      <c r="I14" s="10">
        <v>56988.614800000003</v>
      </c>
      <c r="J14" s="10">
        <v>1817.0475500000002</v>
      </c>
      <c r="K14" s="10">
        <v>58805.662350000006</v>
      </c>
      <c r="L14" s="10">
        <v>839.5842185250001</v>
      </c>
      <c r="M14" s="10">
        <v>117.6480726377695</v>
      </c>
      <c r="N14" s="10">
        <v>2.3117829679799997</v>
      </c>
      <c r="O14" s="10">
        <v>959.54407413074944</v>
      </c>
      <c r="P14" s="10">
        <v>1442.1530764000001</v>
      </c>
      <c r="Q14" s="12">
        <f>O14/P14*100</f>
        <v>66.535521771796098</v>
      </c>
    </row>
    <row r="15" spans="1:17" ht="21.75" customHeight="1" x14ac:dyDescent="0.2">
      <c r="A15" s="13" t="s">
        <v>33</v>
      </c>
      <c r="B15" s="14">
        <v>93526</v>
      </c>
      <c r="C15" s="14">
        <v>174254.21999999997</v>
      </c>
      <c r="D15" s="14">
        <v>119343.88399999999</v>
      </c>
      <c r="E15" s="14">
        <v>13775237</v>
      </c>
      <c r="F15" s="14">
        <v>18443.697426999999</v>
      </c>
      <c r="G15" s="14">
        <v>21476.318839</v>
      </c>
      <c r="H15" s="15">
        <v>85.879230818212193</v>
      </c>
      <c r="I15" s="14">
        <v>77705.236784000008</v>
      </c>
      <c r="J15" s="14">
        <v>5038.3771000000006</v>
      </c>
      <c r="K15" s="14">
        <v>82743.613884000006</v>
      </c>
      <c r="L15" s="14">
        <v>1730.8395077550001</v>
      </c>
      <c r="M15" s="14">
        <v>165.30747208654557</v>
      </c>
      <c r="N15" s="14">
        <v>7.5038480097700013</v>
      </c>
      <c r="O15" s="14">
        <v>1903.6508278513159</v>
      </c>
      <c r="P15" s="14">
        <v>2381.3750943320006</v>
      </c>
      <c r="Q15" s="15">
        <v>79.939142404834328</v>
      </c>
    </row>
    <row r="16" spans="1:17" ht="18.75" customHeight="1" x14ac:dyDescent="0.2">
      <c r="A16" s="9" t="s">
        <v>34</v>
      </c>
      <c r="B16" s="10">
        <v>107368</v>
      </c>
      <c r="C16" s="11">
        <v>210050.56666666668</v>
      </c>
      <c r="D16" s="11">
        <v>147812.52999999997</v>
      </c>
      <c r="E16" s="11">
        <v>16750505</v>
      </c>
      <c r="F16" s="10">
        <v>24150.666445999999</v>
      </c>
      <c r="G16" s="10">
        <v>27391.524562000002</v>
      </c>
      <c r="H16" s="12">
        <v>88.168390887975562</v>
      </c>
      <c r="I16" s="10">
        <v>107601.49962399999</v>
      </c>
      <c r="J16" s="10">
        <v>5369.2834800000001</v>
      </c>
      <c r="K16" s="10">
        <v>112970.783104</v>
      </c>
      <c r="L16" s="10">
        <v>2291.8489498200001</v>
      </c>
      <c r="M16" s="10">
        <v>111.42032870119407</v>
      </c>
      <c r="N16" s="10">
        <v>6.755056654521769</v>
      </c>
      <c r="O16" s="10">
        <v>2410.0243351757158</v>
      </c>
      <c r="P16" s="10">
        <v>3082.5102050669998</v>
      </c>
      <c r="Q16" s="12">
        <v>78.183823405163153</v>
      </c>
    </row>
    <row r="17" spans="1:17" ht="18" customHeight="1" x14ac:dyDescent="0.2">
      <c r="A17" s="6" t="s">
        <v>35</v>
      </c>
      <c r="B17" s="7">
        <f t="shared" ref="B17:I17" si="0">(B16-B15)/B15</f>
        <v>0.14800162521651733</v>
      </c>
      <c r="C17" s="7">
        <f t="shared" si="0"/>
        <v>0.20542599580467386</v>
      </c>
      <c r="D17" s="7">
        <f t="shared" si="0"/>
        <v>0.23854298222772757</v>
      </c>
      <c r="E17" s="7">
        <f t="shared" si="0"/>
        <v>0.21598670135403114</v>
      </c>
      <c r="F17" s="7">
        <f t="shared" si="0"/>
        <v>0.30942651502434021</v>
      </c>
      <c r="G17" s="7">
        <f t="shared" si="0"/>
        <v>0.27542921891522038</v>
      </c>
      <c r="H17" s="7">
        <f t="shared" si="0"/>
        <v>2.6655572575038863E-2</v>
      </c>
      <c r="I17" s="7">
        <f t="shared" si="0"/>
        <v>0.38473935705393547</v>
      </c>
      <c r="J17" s="7"/>
      <c r="K17" s="7">
        <f>(K16-K15)/K15</f>
        <v>0.36531120410544426</v>
      </c>
      <c r="L17" s="7">
        <f>(L16-L15)/L15</f>
        <v>0.32412562779587928</v>
      </c>
      <c r="M17" s="7">
        <f>(M16-M15)/M15</f>
        <v>-0.32598129234678075</v>
      </c>
      <c r="N17" s="7"/>
      <c r="O17" s="7">
        <f>(O16-O15)/O15</f>
        <v>0.26600125396733215</v>
      </c>
      <c r="P17" s="7">
        <f>(P16-P15)/P15</f>
        <v>0.29442447449954312</v>
      </c>
      <c r="Q17" s="7">
        <f>(Q16-Q15)/Q15</f>
        <v>-2.1958191530023496E-2</v>
      </c>
    </row>
    <row r="18" spans="1:17" ht="27.75" customHeight="1" x14ac:dyDescent="0.2">
      <c r="A18" s="3" t="s">
        <v>36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5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5" t="s">
        <v>24</v>
      </c>
    </row>
    <row r="19" spans="1:17" ht="18.75" customHeight="1" x14ac:dyDescent="0.2">
      <c r="A19" s="20" t="s">
        <v>27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8.75" customHeight="1" x14ac:dyDescent="0.2">
      <c r="A20" s="22" t="s">
        <v>37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2.75" customHeight="1" x14ac:dyDescent="0.25">
      <c r="A21" s="17" t="s">
        <v>31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12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2023-11-09T11:12:57Z</cp:lastPrinted>
  <dcterms:created xsi:type="dcterms:W3CDTF">2018-10-29T04:00:16Z</dcterms:created>
  <dcterms:modified xsi:type="dcterms:W3CDTF">2025-01-24T09:30:28Z</dcterms:modified>
</cp:coreProperties>
</file>