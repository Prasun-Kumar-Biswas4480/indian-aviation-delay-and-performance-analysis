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LLIANCE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8" i="4" l="1"/>
  <c r="I9" i="4"/>
  <c r="I10" i="4"/>
  <c r="I11" i="4"/>
  <c r="I12" i="4"/>
  <c r="I13" i="4"/>
  <c r="I7" i="4"/>
  <c r="E8" i="4"/>
  <c r="E9" i="4"/>
  <c r="E10" i="4"/>
  <c r="E11" i="4"/>
  <c r="E12" i="4"/>
  <c r="E7" i="4" l="1"/>
  <c r="E13" i="4" s="1"/>
  <c r="C13" i="4"/>
  <c r="D13" i="4"/>
  <c r="F13" i="4"/>
  <c r="G13" i="4"/>
  <c r="H13" i="4"/>
  <c r="J13" i="4"/>
  <c r="B13" i="4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<sst xmlns="http://schemas.openxmlformats.org/spreadsheetml/2006/main" count="885" uniqueCount="191">
  <si>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</si>
  <si>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</si>
  <si>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</si>
  <si>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</si>
  <si>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</si>
  <si>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</si>
  <si>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</si>
  <si>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</si>
  <si>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</si>
  <si>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</si>
  <si>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</si>
  <si>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</si>
  <si>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</si>
  <si>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</si>
  <si>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</si>
  <si>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</si>
  <si>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</si>
  <si>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</si>
  <si>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</si>
  <si>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</si>
  <si>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</si>
  <si>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</si>
  <si>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</si>
  <si>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</si>
  <si>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</si>
  <si>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</si>
  <si>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</si>
  <si>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</si>
  <si>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</si>
  <si>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</si>
  <si>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</si>
  <si>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</si>
  <si>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</si>
  <si>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</si>
  <si>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</si>
  <si>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</si>
  <si>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</si>
  <si>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</si>
  <si>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</si>
  <si>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</si>
  <si>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</si>
  <si>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</si>
  <si>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</si>
  <si>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</si>
  <si>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</si>
  <si>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</si>
  <si>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</si>
  <si>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</si>
  <si>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</si>
  <si>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</si>
  <si>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</si>
  <si>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</si>
  <si>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</si>
  <si>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</si>
  <si>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</si>
  <si>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</si>
  <si>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</si>
  <si>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</si>
  <si>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</si>
  <si>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</si>
  <si>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</si>
  <si>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</si>
  <si>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</si>
  <si>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</si>
  <si>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</si>
  <si>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</si>
  <si>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</si>
  <si>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</si>
  <si>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</si>
  <si>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</si>
  <si>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</si>
  <si>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</si>
  <si>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</si>
  <si>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</si>
  <si>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</si>
  <si>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</si>
  <si>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</si>
  <si>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</si>
  <si>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</si>
  <si>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</si>
  <si>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</si>
  <si>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</si>
  <si>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</si>
  <si>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</si>
  <si>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</si>
  <si>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</si>
  <si>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</si>
  <si>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</si>
  <si>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</si>
  <si>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</si>
  <si>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</si>
  <si>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</si>
  <si>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</si>
  <si>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</si>
  <si>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</si>
  <si>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</si>
  <si>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</si>
  <si>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</si>
  <si>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</si>
  <si>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</si>
  <si>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</si>
  <si>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</si>
  <si>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</si>
  <si>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</si>
  <si>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</si>
  <si>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</si>
  <si>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</si>
  <si>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</si>
  <si>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</si>
  <si>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</si>
  <si>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</si>
  <si>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</si>
  <si>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</si>
  <si>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</si>
  <si>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</si>
  <si>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</si>
  <si>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</si>
  <si>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</si>
  <si>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</si>
  <si>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</si>
  <si>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</si>
  <si>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</si>
  <si>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</si>
  <si>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</si>
  <si>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</si>
  <si>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</si>
  <si>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</si>
  <si>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</si>
  <si>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</si>
  <si>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</si>
  <si>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</si>
  <si>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</si>
  <si>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</si>
  <si>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</si>
  <si>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</si>
  <si>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</si>
  <si>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</si>
  <si>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</si>
  <si>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</si>
  <si>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</si>
  <si>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</si>
  <si>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</si>
  <si>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</si>
  <si>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</si>
  <si>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</si>
  <si>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</si>
  <si>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</si>
  <si>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</si>
  <si>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</si>
  <si>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</si>
  <si>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</si>
  <si>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</si>
  <si>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</si>
  <si>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</si>
  <si>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</si>
  <si>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</si>
  <si>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</si>
  <si>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</si>
  <si>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</si>
  <si>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</si>
  <si>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</si>
  <si>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</si>
  <si>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</si>
  <si>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</si>
  <si>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</si>
  <si>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</si>
  <si>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</si>
  <si>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</si>
  <si>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</si>
  <si>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</si>
  <si>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</si>
  <si>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</si>
  <si>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</si>
  <si>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</si>
  <si>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</si>
  <si>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</si>
  <si>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</si>
  <si>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</si>
  <si>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</si>
  <si>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</si>
  <si>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</si>
  <si>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ALLIANCE AIR</t>
  </si>
  <si>
    <t>OTHER FLIGHT CREW</t>
  </si>
  <si>
    <t>CABIN CREW</t>
  </si>
  <si>
    <t>MALE</t>
  </si>
  <si>
    <t>FEMALE</t>
  </si>
  <si>
    <t>TRANSGENDER</t>
  </si>
  <si>
    <t>PERSONNEL STATISTICS OF ALLIANCE AIR DURING 2023-24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</si>
  <si>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</si>
  <si>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(एलाइंस एयर) </t>
  </si>
  <si>
    <t>TABLE - 1D (ALLIANCE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</si>
</sst>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5" xfId="7" applyNumberFormat="1" applyFont="1" applyFill="1" applyBorder="1" applyAlignment="1" applyProtection="1">
      <alignment horizontal="left" vertical="center"/>
    </xf>
    <xf numFmtId="169" fontId="8" fillId="4" borderId="15" xfId="7" applyNumberFormat="1" applyFont="1" applyFill="1" applyBorder="1" applyAlignment="1" applyProtection="1">
      <alignment vertical="center"/>
    </xf>
    <xf numFmtId="169" fontId="9" fillId="4" borderId="14" xfId="7" applyNumberFormat="1" applyFont="1" applyFill="1" applyBorder="1" applyAlignment="1" applyProtection="1">
      <alignment vertical="center"/>
    </xf>
    <xf numFmtId="169" fontId="8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0" fontId="16" fillId="2" borderId="0" xfId="2" applyFont="1" applyFill="1"/>
    <xf numFmtId="0" fontId="16" fillId="2" borderId="1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3" fontId="16" fillId="2" borderId="1" xfId="0" applyNumberFormat="1" applyFont="1" applyFill="1" applyBorder="1" applyAlignment="1">
      <alignment horizontal="center" vertical="center"/>
    </xf>
    <xf numFmtId="166" fontId="15" fillId="2" borderId="1" xfId="0" applyNumberFormat="1" applyFont="1" applyFill="1" applyBorder="1" applyAlignment="1">
      <alignment horizontal="center" vertical="center"/>
    </xf>
    <xf numFmtId="166" fontId="15" fillId="2" borderId="2" xfId="0" applyNumberFormat="1" applyFont="1" applyFill="1" applyBorder="1" applyAlignment="1">
      <alignment horizontal="center" vertical="center"/>
    </xf>
    <xf numFmtId="0" fontId="15" fillId="2" borderId="2" xfId="2" applyFont="1" applyFill="1" applyBorder="1" applyAlignment="1" applyProtection="1">
      <alignment horizontal="center" vertical="center" wrapText="1"/>
    </xf>
    <xf numFmtId="3" fontId="15" fillId="2" borderId="1" xfId="0" applyNumberFormat="1" applyFont="1" applyFill="1" applyBorder="1" applyAlignment="1">
      <alignment horizontal="center" vertical="center"/>
    </xf>
    <xf numFmtId="0" fontId="15" fillId="2" borderId="10" xfId="2" applyFont="1" applyFill="1" applyBorder="1" applyAlignment="1">
      <alignment horizontal="center" vertical="center"/>
    </xf>
    <xf numFmtId="0" fontId="15" fillId="2" borderId="11" xfId="2" applyFont="1" applyFill="1" applyBorder="1" applyAlignment="1">
      <alignment horizontal="center" vertical="center"/>
    </xf>
    <xf numFmtId="0" fontId="15" fillId="2" borderId="4" xfId="2" applyFont="1" applyFill="1" applyBorder="1" applyAlignment="1" applyProtection="1">
      <alignment horizontal="center" vertical="center" wrapText="1"/>
    </xf>
    <xf numFmtId="0" fontId="15" fillId="2" borderId="8" xfId="2" applyFont="1" applyFill="1" applyBorder="1" applyAlignment="1">
      <alignment horizontal="left" vertical="center" wrapText="1"/>
    </xf>
    <xf numFmtId="0" fontId="15" fillId="2" borderId="9" xfId="2" applyFont="1" applyFill="1" applyBorder="1" applyAlignment="1">
      <alignment horizontal="left" vertical="center" wrapText="1"/>
    </xf>
    <xf numFmtId="0" fontId="15" fillId="2" borderId="13" xfId="2" applyFont="1" applyFill="1" applyBorder="1" applyAlignment="1">
      <alignment horizontal="left" vertical="center" wrapText="1"/>
    </xf>
    <xf numFmtId="0" fontId="15" fillId="2" borderId="12" xfId="2" applyFont="1" applyFill="1" applyBorder="1" applyAlignment="1">
      <alignment horizontal="center" vertical="center"/>
    </xf>
    <xf numFmtId="0" fontId="15" fillId="2" borderId="8" xfId="2" applyFont="1" applyFill="1" applyBorder="1" applyAlignment="1">
      <alignment horizontal="center" vertical="center"/>
    </xf>
    <xf numFmtId="0" fontId="15" fillId="2" borderId="9" xfId="2" applyFont="1" applyFill="1" applyBorder="1" applyAlignment="1">
      <alignment horizontal="center" vertical="center"/>
    </xf>
    <xf numFmtId="0" fontId="15" fillId="2" borderId="13" xfId="2" applyFont="1" applyFill="1" applyBorder="1" applyAlignment="1">
      <alignment horizontal="center" vertical="center"/>
    </xf>
    <xf numFmtId="0" fontId="15" fillId="2" borderId="6" xfId="2" applyFont="1" applyFill="1" applyBorder="1" applyAlignment="1" applyProtection="1">
      <alignment horizontal="center" vertical="center" wrapText="1"/>
    </xf>
    <xf numFmtId="0" fontId="15" fillId="2" borderId="7" xfId="2" applyFont="1" applyFill="1" applyBorder="1" applyAlignment="1" applyProtection="1">
      <alignment horizontal="center" vertical="center" wrapText="1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10" xfId="2" applyFont="1" applyFill="1" applyBorder="1" applyAlignment="1" applyProtection="1">
      <alignment horizontal="left" vertical="center" wrapText="1"/>
    </xf>
    <xf numFmtId="0" fontId="15" fillId="2" borderId="11" xfId="2" applyFont="1" applyFill="1" applyBorder="1" applyAlignment="1" applyProtection="1">
      <alignment horizontal="left" vertical="center" wrapText="1"/>
    </xf>
    <xf numFmtId="0" fontId="15" fillId="2" borderId="12" xfId="2" applyFont="1" applyFill="1" applyBorder="1" applyAlignment="1" applyProtection="1">
      <alignment horizontal="left" vertical="center" wrapText="1"/>
    </xf>
    <xf numFmtId="0" fontId="15" fillId="2" borderId="2" xfId="2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60728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324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11788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182184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26636</v>
      </c>
      <c r="Z35" s="3">
        <v>29472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/>
      <c r="Z43" s="3"/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5322</v>
      </c>
      <c r="Z75" s="3">
        <v>4795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="95" zoomScaleNormal="100" zoomScaleSheetLayoutView="95" workbookViewId="0">
      <selection activeCell="I17" sqref="I17"/>
    </sheetView>
  </sheetViews>
  <sheetFormatPr defaultColWidth="11.140625" defaultRowHeight="15.75" x14ac:dyDescent="0.25"/>
  <cols>
    <col min="1" max="1" width="28.28515625" style="24" customWidth="1"/>
    <col min="2" max="3" width="11.140625" style="24"/>
    <col min="4" max="4" width="10.42578125" style="24" customWidth="1"/>
    <col min="5" max="7" width="11.140625" style="24"/>
    <col min="8" max="8" width="11.42578125" style="24" customWidth="1"/>
    <col min="9" max="9" width="11.140625" style="24"/>
    <col min="10" max="10" width="15" style="24" customWidth="1"/>
    <col min="11" max="16384" width="11.140625" style="24"/>
  </cols>
  <sheetData>
    <row r="1" spans="1:11" ht="24.95" customHeight="1" x14ac:dyDescent="0.25">
      <c r="A1" s="32" t="s">
        <v>189</v>
      </c>
      <c r="B1" s="33"/>
      <c r="C1" s="33"/>
      <c r="D1" s="33"/>
      <c r="E1" s="33"/>
      <c r="F1" s="33"/>
      <c r="G1" s="33"/>
      <c r="H1" s="33"/>
      <c r="I1" s="33"/>
      <c r="J1" s="38"/>
    </row>
    <row r="2" spans="1:11" ht="24.95" customHeight="1" x14ac:dyDescent="0.25">
      <c r="A2" s="39" t="s">
        <v>190</v>
      </c>
      <c r="B2" s="40"/>
      <c r="C2" s="40"/>
      <c r="D2" s="40"/>
      <c r="E2" s="40"/>
      <c r="F2" s="40"/>
      <c r="G2" s="40"/>
      <c r="H2" s="40"/>
      <c r="I2" s="40"/>
      <c r="J2" s="41"/>
    </row>
    <row r="3" spans="1:11" ht="45" customHeight="1" x14ac:dyDescent="0.25">
      <c r="A3" s="34" t="s">
        <v>187</v>
      </c>
      <c r="B3" s="34"/>
      <c r="C3" s="34"/>
      <c r="D3" s="34"/>
      <c r="E3" s="34"/>
      <c r="F3" s="34"/>
      <c r="G3" s="34"/>
      <c r="H3" s="34"/>
      <c r="I3" s="34"/>
      <c r="J3" s="34"/>
    </row>
    <row r="4" spans="1:11" ht="35.1" customHeight="1" x14ac:dyDescent="0.25">
      <c r="A4" s="48" t="s">
        <v>8</v>
      </c>
      <c r="B4" s="42" t="s">
        <v>7</v>
      </c>
      <c r="C4" s="43"/>
      <c r="D4" s="43"/>
      <c r="E4" s="43"/>
      <c r="F4" s="43"/>
      <c r="G4" s="43"/>
      <c r="H4" s="43"/>
      <c r="I4" s="44"/>
      <c r="J4" s="48" t="s">
        <v>15</v>
      </c>
    </row>
    <row r="5" spans="1:11" ht="35.1" customHeight="1" x14ac:dyDescent="0.25">
      <c r="A5" s="49"/>
      <c r="B5" s="42" t="s">
        <v>6</v>
      </c>
      <c r="C5" s="43"/>
      <c r="D5" s="43"/>
      <c r="E5" s="44"/>
      <c r="F5" s="42" t="s">
        <v>5</v>
      </c>
      <c r="G5" s="43"/>
      <c r="H5" s="43"/>
      <c r="I5" s="44"/>
      <c r="J5" s="49"/>
    </row>
    <row r="6" spans="1:11" ht="35.1" customHeight="1" x14ac:dyDescent="0.25">
      <c r="A6" s="34"/>
      <c r="B6" s="26" t="s">
        <v>184</v>
      </c>
      <c r="C6" s="26" t="s">
        <v>185</v>
      </c>
      <c r="D6" s="26" t="s">
        <v>186</v>
      </c>
      <c r="E6" s="26" t="s">
        <v>0</v>
      </c>
      <c r="F6" s="26" t="s">
        <v>184</v>
      </c>
      <c r="G6" s="26" t="s">
        <v>185</v>
      </c>
      <c r="H6" s="26" t="s">
        <v>186</v>
      </c>
      <c r="I6" s="26" t="s">
        <v>0</v>
      </c>
      <c r="J6" s="34"/>
    </row>
    <row r="7" spans="1:11" ht="35.1" customHeight="1" x14ac:dyDescent="0.25">
      <c r="A7" s="26" t="s">
        <v>4</v>
      </c>
      <c r="B7" s="25">
        <v>155</v>
      </c>
      <c r="C7" s="25">
        <v>29</v>
      </c>
      <c r="D7" s="25">
        <v>0</v>
      </c>
      <c r="E7" s="31">
        <f>B7+C7+D7</f>
        <v>184</v>
      </c>
      <c r="F7" s="27">
        <v>134</v>
      </c>
      <c r="G7" s="27">
        <v>20</v>
      </c>
      <c r="H7" s="27">
        <v>0</v>
      </c>
      <c r="I7" s="31">
        <f>F7+G7</f>
        <v>154</v>
      </c>
      <c r="J7" s="28">
        <v>907</v>
      </c>
      <c r="K7" s="23"/>
    </row>
    <row r="8" spans="1:11" ht="35.1" customHeight="1" x14ac:dyDescent="0.25">
      <c r="A8" s="26" t="s">
        <v>182</v>
      </c>
      <c r="B8" s="25">
        <v>0</v>
      </c>
      <c r="C8" s="25">
        <v>0</v>
      </c>
      <c r="D8" s="25">
        <v>0</v>
      </c>
      <c r="E8" s="31">
        <f t="shared" ref="E8:E12" si="0">B8+C8+D8</f>
        <v>0</v>
      </c>
      <c r="F8" s="27">
        <v>0</v>
      </c>
      <c r="G8" s="27">
        <v>0</v>
      </c>
      <c r="H8" s="27">
        <v>0</v>
      </c>
      <c r="I8" s="31">
        <f t="shared" ref="I8:I13" si="1">F8+G8</f>
        <v>0</v>
      </c>
      <c r="J8" s="28">
        <v>0</v>
      </c>
      <c r="K8" s="23"/>
    </row>
    <row r="9" spans="1:11" ht="35.1" customHeight="1" x14ac:dyDescent="0.25">
      <c r="A9" s="26" t="s">
        <v>183</v>
      </c>
      <c r="B9" s="25">
        <v>108</v>
      </c>
      <c r="C9" s="25">
        <v>68</v>
      </c>
      <c r="D9" s="25">
        <v>0</v>
      </c>
      <c r="E9" s="31">
        <f t="shared" si="0"/>
        <v>176</v>
      </c>
      <c r="F9" s="27">
        <v>104</v>
      </c>
      <c r="G9" s="27">
        <v>56</v>
      </c>
      <c r="H9" s="27">
        <v>0</v>
      </c>
      <c r="I9" s="31">
        <f t="shared" si="1"/>
        <v>160</v>
      </c>
      <c r="J9" s="28">
        <v>102</v>
      </c>
      <c r="K9" s="23"/>
    </row>
    <row r="10" spans="1:11" ht="35.1" customHeight="1" x14ac:dyDescent="0.25">
      <c r="A10" s="26" t="s">
        <v>3</v>
      </c>
      <c r="B10" s="25">
        <v>9</v>
      </c>
      <c r="C10" s="25">
        <v>50</v>
      </c>
      <c r="D10" s="25">
        <v>0</v>
      </c>
      <c r="E10" s="31">
        <f t="shared" si="0"/>
        <v>59</v>
      </c>
      <c r="F10" s="27">
        <v>41</v>
      </c>
      <c r="G10" s="27">
        <v>9</v>
      </c>
      <c r="H10" s="27">
        <v>0</v>
      </c>
      <c r="I10" s="31">
        <f t="shared" si="1"/>
        <v>50</v>
      </c>
      <c r="J10" s="28"/>
      <c r="K10" s="23"/>
    </row>
    <row r="11" spans="1:11" ht="35.1" customHeight="1" x14ac:dyDescent="0.25">
      <c r="A11" s="26" t="s">
        <v>2</v>
      </c>
      <c r="B11" s="25">
        <v>0</v>
      </c>
      <c r="C11" s="25"/>
      <c r="D11" s="25">
        <v>0</v>
      </c>
      <c r="E11" s="31">
        <f t="shared" si="0"/>
        <v>0</v>
      </c>
      <c r="F11" s="27"/>
      <c r="G11" s="27">
        <v>0</v>
      </c>
      <c r="H11" s="27">
        <v>0</v>
      </c>
      <c r="I11" s="31">
        <f t="shared" si="1"/>
        <v>0</v>
      </c>
      <c r="J11" s="29"/>
      <c r="K11" s="23"/>
    </row>
    <row r="12" spans="1:11" ht="35.1" customHeight="1" x14ac:dyDescent="0.25">
      <c r="A12" s="26" t="s">
        <v>1</v>
      </c>
      <c r="B12" s="25">
        <v>401</v>
      </c>
      <c r="C12" s="25">
        <v>123</v>
      </c>
      <c r="D12" s="25">
        <v>0</v>
      </c>
      <c r="E12" s="31">
        <f t="shared" si="0"/>
        <v>524</v>
      </c>
      <c r="F12" s="27">
        <v>391</v>
      </c>
      <c r="G12" s="27">
        <v>127</v>
      </c>
      <c r="H12" s="27">
        <v>0</v>
      </c>
      <c r="I12" s="31">
        <f t="shared" si="1"/>
        <v>518</v>
      </c>
      <c r="J12" s="28">
        <v>350</v>
      </c>
      <c r="K12" s="23"/>
    </row>
    <row r="13" spans="1:11" ht="35.1" customHeight="1" x14ac:dyDescent="0.25">
      <c r="A13" s="30" t="s">
        <v>0</v>
      </c>
      <c r="B13" s="31">
        <f>SUM(B7:B12)</f>
        <v>673</v>
      </c>
      <c r="C13" s="31">
        <f t="shared" ref="C13:J13" si="2">SUM(C7:C12)</f>
        <v>270</v>
      </c>
      <c r="D13" s="31">
        <f t="shared" si="2"/>
        <v>0</v>
      </c>
      <c r="E13" s="31">
        <f t="shared" si="2"/>
        <v>943</v>
      </c>
      <c r="F13" s="31">
        <f t="shared" si="2"/>
        <v>670</v>
      </c>
      <c r="G13" s="31">
        <f t="shared" si="2"/>
        <v>212</v>
      </c>
      <c r="H13" s="31">
        <f t="shared" si="2"/>
        <v>0</v>
      </c>
      <c r="I13" s="31">
        <f t="shared" si="1"/>
        <v>882</v>
      </c>
      <c r="J13" s="28">
        <f t="shared" si="2"/>
        <v>1359</v>
      </c>
    </row>
    <row r="14" spans="1:11" ht="20.100000000000001" customHeight="1" x14ac:dyDescent="0.25">
      <c r="A14" s="45" t="s">
        <v>181</v>
      </c>
      <c r="B14" s="46"/>
      <c r="C14" s="46"/>
      <c r="D14" s="46"/>
      <c r="E14" s="46"/>
      <c r="F14" s="46"/>
      <c r="G14" s="46"/>
      <c r="H14" s="46"/>
      <c r="I14" s="46"/>
      <c r="J14" s="47"/>
    </row>
    <row r="15" spans="1:11" ht="24.75" customHeight="1" x14ac:dyDescent="0.25">
      <c r="A15" s="35" t="s">
        <v>188</v>
      </c>
      <c r="B15" s="36"/>
      <c r="C15" s="36"/>
      <c r="D15" s="36"/>
      <c r="E15" s="36"/>
      <c r="F15" s="36"/>
      <c r="G15" s="36"/>
      <c r="H15" s="36"/>
      <c r="I15" s="36"/>
      <c r="J15" s="37"/>
    </row>
  </sheetData>
  <mergeCells count="10">
    <mergeCell ref="A15:J15"/>
    <mergeCell ref="A1:J1"/>
    <mergeCell ref="A2:J2"/>
    <mergeCell ref="A3:J3"/>
    <mergeCell ref="B4:I4"/>
    <mergeCell ref="B5:E5"/>
    <mergeCell ref="F5:I5"/>
    <mergeCell ref="A14:J14"/>
    <mergeCell ref="J4:J6"/>
    <mergeCell ref="A4:A6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2025-03-28T09:14:50Z</cp:lastPrinted>
  <dcterms:created xsi:type="dcterms:W3CDTF">2002-12-26T09:18:20Z</dcterms:created>
  <dcterms:modified xsi:type="dcterms:W3CDTF">2025-04-03T11:28:50Z</dcterms:modified>
</cp:coreProperties>
</file>