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bhijeet Annual Tables (Revised 04-02-2025) - Copy\Annual Publication FY 2023-24\AIR INDIA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C" sheetId="3" r:id="rId4"/>
  </sheets>
  <definedNames>
    <definedName name="\a" localSheetId="3">'C'!#REF!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'C'!$A$1:$N$25</definedName>
    <definedName name="Print_Area_MI" localSheetId="3">'C'!$A$22:$N$31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C25" i="3" l="1"/>
  <c r="D25" i="3"/>
  <c r="E25" i="3"/>
  <c r="I25" i="3"/>
  <c r="J25" i="3"/>
  <c r="L25" i="3"/>
  <c r="M25" i="3"/>
  <c r="B25" i="3"/>
  <c r="K25" i="3" l="1"/>
  <c r="N25" i="3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<sst xmlns="http://schemas.openxmlformats.org/spreadsheetml/2006/main" count="920" uniqueCount="203">
  <si>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</si>
  <si>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</si>
  <si>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</si>
  <si>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</si>
  <si>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</si>
  <si>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</si>
  <si>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</si>
  <si>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</si>
  <si>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</si>
  <si>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</si>
  <si>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</si>
  <si>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</si>
  <si>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</si>
  <si>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</si>
  <si>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</si>
  <si>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</si>
  <si>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</si>
  <si>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</si>
  <si>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</si>
  <si>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</si>
  <si>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</si>
  <si>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</si>
  <si>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</si>
  <si>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</si>
  <si>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</si>
  <si>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</si>
  <si>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</si>
  <si>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</si>
  <si>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</si>
  <si>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</si>
  <si>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</si>
  <si>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</si>
  <si>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</si>
  <si>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</si>
  <si>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</si>
  <si>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</si>
  <si>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</si>
  <si>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</si>
  <si>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</si>
  <si>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</si>
  <si>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</si>
  <si>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</si>
  <si>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</si>
  <si>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</si>
  <si>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</si>
  <si>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</si>
  <si>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</si>
  <si>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</si>
  <si>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</si>
  <si>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</si>
  <si>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</si>
  <si>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</si>
  <si>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</si>
  <si>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</si>
  <si>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</si>
  <si>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</si>
  <si>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</si>
  <si>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</si>
  <si>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</si>
  <si>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</si>
  <si>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</si>
  <si>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</si>
  <si>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</si>
  <si>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</si>
  <si>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</si>
  <si>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</si>
  <si>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</si>
  <si>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</si>
  <si>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</si>
  <si>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</si>
  <si>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</si>
  <si>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</si>
  <si>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</si>
  <si>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</si>
  <si>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</si>
  <si>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</si>
  <si>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</si>
  <si>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</si>
  <si>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</si>
  <si>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</si>
  <si>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</si>
  <si>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</si>
  <si>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</si>
  <si>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</si>
  <si>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</si>
  <si>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</si>
  <si>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</si>
  <si>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</si>
  <si>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</si>
  <si>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</si>
  <si>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</si>
  <si>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</si>
  <si>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</si>
  <si>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</si>
  <si>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</si>
  <si>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</si>
  <si>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</si>
  <si>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</si>
  <si>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</si>
  <si>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</si>
  <si>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</si>
  <si>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</si>
  <si>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</si>
  <si>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</si>
  <si>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</si>
  <si>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</si>
  <si>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</si>
  <si>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</si>
  <si>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</si>
  <si>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</si>
  <si>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</si>
  <si>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</si>
  <si>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</si>
  <si>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</si>
  <si>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</si>
  <si>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</si>
  <si>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</si>
  <si>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</si>
  <si>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</si>
  <si>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</si>
  <si>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</si>
  <si>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</si>
  <si>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</si>
  <si>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</si>
  <si>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</si>
  <si>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</si>
  <si>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</si>
  <si>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</si>
  <si>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</si>
  <si>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</si>
  <si>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</si>
  <si>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</si>
  <si>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</si>
  <si>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</si>
  <si>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</si>
  <si>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</si>
  <si>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</si>
  <si>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</si>
  <si>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</si>
  <si>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</si>
  <si>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</si>
  <si>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</si>
  <si>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</si>
  <si>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</si>
  <si>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</si>
  <si>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</si>
  <si>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</si>
  <si>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</si>
  <si>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</si>
  <si>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</si>
  <si>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</si>
  <si>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</si>
  <si>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</si>
  <si>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</si>
  <si>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</si>
  <si>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</si>
  <si>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</si>
  <si>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</si>
  <si>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</si>
  <si>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</si>
  <si>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</si>
  <si>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</si>
  <si>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</si>
  <si>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</si>
  <si>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</si>
  <si>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</si>
  <si>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</si>
  <si>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</si>
  <si>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</si>
  <si>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</si>
  <si>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</si>
  <si>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</si>
  <si>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</si>
  <si>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</si>
  <si>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</si>
  <si>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</si>
  <si>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</si>
  <si>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</si>
  <si>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</si>
  <si>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</si>
  <si>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</si>
  <si>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</si>
  <si>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</si>
  <si>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</si>
  <si>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</si>
  <si>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</si>
  <si>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</si>
  <si>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TYPE OF AIRCRAFT WISE FLEET STATISTICS OF AIR INDIA DURING 2023-24</t>
  </si>
  <si>
    <t>A319-112 (CFM56)</t>
  </si>
  <si>
    <t>A320-214 (CFM56)</t>
  </si>
  <si>
    <t>A320-251N (CFM LEAP-1A)</t>
  </si>
  <si>
    <t>A321-211 (CFM56)</t>
  </si>
  <si>
    <t>A321-251Nx  (CFM LEAP-1A)</t>
  </si>
  <si>
    <t>A321-251Nx (CFM LEAP-1A)</t>
  </si>
  <si>
    <t>A350-941 (Trent XWB-84)</t>
  </si>
  <si>
    <t>B777-200LR (GE 90)</t>
  </si>
  <si>
    <t>B777-300ER (GE 90)</t>
  </si>
  <si>
    <t>B787-8 (GE GEnx)</t>
  </si>
  <si>
    <t>B787-8 (GE Genx)</t>
  </si>
  <si>
    <t>NA</t>
  </si>
  <si>
    <t>TOTAL (INCLUSIVE OF NON REVENUE)</t>
  </si>
  <si>
    <t xml:space="preserve">तालिका 1C (एयर इंडिया) </t>
  </si>
  <si>
    <t>TABLE - 1C (AIR INDIA)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</si>
</sst>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* #,##0_);_(* \(#,##0\);_(* &quot;-&quot;_);_(@_)"/>
    <numFmt numFmtId="165" formatCode="_(* #,##0.00_);_(* \(#,##0.00\);_(* &quot;-&quot;??_);_(@_)"/>
    <numFmt numFmtId="167" formatCode="0.0_)"/>
    <numFmt numFmtId="169" formatCode="#,##0.0_);[Red]\(#,##0.0\)"/>
    <numFmt numFmtId="170" formatCode="_-* #,##0_-;\-* #,##0_-;_-* &quot;-&quot;??_-;_-@_-"/>
    <numFmt numFmtId="171" formatCode="_-* #,##0.00_-;\-* #,##0.00_-;_-* &quot;-&quot;??_-;_-@_-"/>
    <numFmt numFmtId="172" formatCode="&quot;$&quot;#,##0;\-&quot;$&quot;#,##0"/>
    <numFmt numFmtId="173" formatCode="0.0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Courier"/>
      <family val="3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sz val="12"/>
      <color theme="1"/>
      <name val="Garamond"/>
      <family val="1"/>
    </font>
    <font>
      <sz val="12"/>
      <color indexed="8"/>
      <name val="Garamond"/>
      <family val="1"/>
    </font>
    <font>
      <b/>
      <sz val="12"/>
      <color indexed="8"/>
      <name val="Garamond"/>
      <family val="1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0"/>
      </bottom>
      <diagonal/>
    </border>
  </borders>
  <cellStyleXfs count="15">
    <xf numFmtId="0" fontId="0" fillId="0" borderId="0"/>
    <xf numFmtId="165" fontId="5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7" fillId="0" borderId="0">
      <alignment vertical="top"/>
    </xf>
    <xf numFmtId="0" fontId="10" fillId="0" borderId="0"/>
    <xf numFmtId="165" fontId="2" fillId="0" borderId="0" applyFont="0" applyFill="0" applyBorder="0" applyAlignment="0" applyProtection="0"/>
    <xf numFmtId="0" fontId="1" fillId="0" borderId="0"/>
    <xf numFmtId="0" fontId="12" fillId="0" borderId="0"/>
    <xf numFmtId="0" fontId="13" fillId="0" borderId="0">
      <alignment vertical="top"/>
    </xf>
    <xf numFmtId="3" fontId="14" fillId="0" borderId="0" applyFont="0" applyFill="0" applyBorder="0" applyAlignment="0" applyProtection="0"/>
    <xf numFmtId="172" fontId="14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9" fontId="11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wrapText="1"/>
    </xf>
    <xf numFmtId="169" fontId="9" fillId="4" borderId="1" xfId="1" applyNumberFormat="1" applyFont="1" applyFill="1" applyBorder="1" applyAlignment="1" applyProtection="1">
      <alignment horizontal="left" wrapText="1"/>
    </xf>
    <xf numFmtId="169" fontId="8" fillId="4" borderId="1" xfId="1" applyNumberFormat="1" applyFont="1" applyFill="1" applyBorder="1" applyAlignment="1" applyProtection="1">
      <alignment horizontal="left" vertical="top" wrapText="1"/>
    </xf>
    <xf numFmtId="169" fontId="8" fillId="5" borderId="14" xfId="7" applyNumberFormat="1" applyFont="1" applyFill="1" applyBorder="1" applyAlignment="1" applyProtection="1">
      <alignment horizontal="left" vertical="center"/>
    </xf>
    <xf numFmtId="169" fontId="8" fillId="5" borderId="14" xfId="7" applyNumberFormat="1" applyFont="1" applyFill="1" applyBorder="1" applyAlignment="1" applyProtection="1">
      <alignment vertical="center"/>
    </xf>
    <xf numFmtId="169" fontId="9" fillId="5" borderId="13" xfId="7" applyNumberFormat="1" applyFont="1" applyFill="1" applyBorder="1" applyAlignment="1" applyProtection="1">
      <alignment vertical="center"/>
    </xf>
    <xf numFmtId="169" fontId="8" fillId="5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6" fillId="2" borderId="0" xfId="2" applyFont="1" applyFill="1"/>
    <xf numFmtId="0" fontId="15" fillId="2" borderId="1" xfId="2" applyFont="1" applyFill="1" applyBorder="1" applyAlignment="1" applyProtection="1">
      <alignment horizontal="center" vertical="center" textRotation="180" wrapText="1"/>
    </xf>
    <xf numFmtId="173" fontId="16" fillId="2" borderId="0" xfId="2" applyNumberFormat="1" applyFont="1" applyFill="1"/>
    <xf numFmtId="0" fontId="16" fillId="3" borderId="0" xfId="2" applyFont="1" applyFill="1"/>
    <xf numFmtId="0" fontId="17" fillId="3" borderId="1" xfId="8" applyFont="1" applyFill="1" applyBorder="1" applyAlignment="1">
      <alignment horizontal="left" vertical="center" wrapText="1"/>
    </xf>
    <xf numFmtId="0" fontId="17" fillId="3" borderId="2" xfId="8" applyFont="1" applyFill="1" applyBorder="1" applyAlignment="1">
      <alignment horizontal="left" vertical="center" wrapText="1"/>
    </xf>
    <xf numFmtId="164" fontId="19" fillId="3" borderId="12" xfId="0" applyNumberFormat="1" applyFont="1" applyFill="1" applyBorder="1" applyAlignment="1" applyProtection="1">
      <alignment horizontal="left" vertical="center"/>
    </xf>
    <xf numFmtId="37" fontId="18" fillId="3" borderId="12" xfId="0" applyNumberFormat="1" applyFont="1" applyFill="1" applyBorder="1" applyAlignment="1" applyProtection="1">
      <alignment horizontal="center" vertical="center"/>
    </xf>
    <xf numFmtId="3" fontId="18" fillId="3" borderId="12" xfId="0" applyNumberFormat="1" applyFont="1" applyFill="1" applyBorder="1" applyAlignment="1" applyProtection="1">
      <alignment horizontal="center" vertical="center"/>
    </xf>
    <xf numFmtId="164" fontId="18" fillId="3" borderId="12" xfId="0" applyNumberFormat="1" applyFont="1" applyFill="1" applyBorder="1" applyAlignment="1" applyProtection="1">
      <alignment horizontal="center" vertical="center"/>
    </xf>
    <xf numFmtId="170" fontId="18" fillId="3" borderId="12" xfId="0" applyNumberFormat="1" applyFont="1" applyFill="1" applyBorder="1" applyAlignment="1" applyProtection="1">
      <alignment horizontal="center" vertical="center"/>
    </xf>
    <xf numFmtId="3" fontId="18" fillId="3" borderId="12" xfId="0" quotePrefix="1" applyNumberFormat="1" applyFont="1" applyFill="1" applyBorder="1" applyAlignment="1" applyProtection="1">
      <alignment horizontal="center" vertical="center"/>
    </xf>
    <xf numFmtId="164" fontId="19" fillId="3" borderId="12" xfId="0" applyNumberFormat="1" applyFont="1" applyFill="1" applyBorder="1" applyAlignment="1" applyProtection="1">
      <alignment horizontal="center" vertical="center"/>
    </xf>
    <xf numFmtId="0" fontId="15" fillId="2" borderId="1" xfId="2" applyFont="1" applyFill="1" applyBorder="1" applyAlignment="1" applyProtection="1">
      <alignment horizontal="center" vertical="center" textRotation="180" wrapText="1"/>
    </xf>
    <xf numFmtId="164" fontId="16" fillId="3" borderId="0" xfId="2" applyNumberFormat="1" applyFont="1" applyFill="1"/>
    <xf numFmtId="0" fontId="15" fillId="2" borderId="8" xfId="2" quotePrefix="1" applyFont="1" applyFill="1" applyBorder="1" applyAlignment="1" applyProtection="1">
      <alignment horizontal="center" vertical="center" wrapText="1"/>
    </xf>
    <xf numFmtId="0" fontId="15" fillId="2" borderId="6" xfId="2" applyFont="1" applyFill="1" applyBorder="1" applyAlignment="1" applyProtection="1">
      <alignment horizontal="center" vertical="center" wrapText="1"/>
    </xf>
    <xf numFmtId="0" fontId="15" fillId="2" borderId="7" xfId="2" applyFont="1" applyFill="1" applyBorder="1" applyAlignment="1" applyProtection="1">
      <alignment horizontal="center" vertical="center" wrapText="1"/>
    </xf>
    <xf numFmtId="0" fontId="15" fillId="2" borderId="10" xfId="2" quotePrefix="1" applyFont="1" applyFill="1" applyBorder="1" applyAlignment="1" applyProtection="1">
      <alignment horizontal="center" vertical="center" wrapText="1"/>
    </xf>
    <xf numFmtId="0" fontId="15" fillId="2" borderId="11" xfId="2" quotePrefix="1" applyFont="1" applyFill="1" applyBorder="1" applyAlignment="1" applyProtection="1">
      <alignment horizontal="center" vertical="center" wrapText="1"/>
    </xf>
    <xf numFmtId="0" fontId="15" fillId="2" borderId="9" xfId="2" quotePrefix="1" applyFont="1" applyFill="1" applyBorder="1" applyAlignment="1" applyProtection="1">
      <alignment horizontal="center" vertical="center" wrapText="1"/>
    </xf>
    <xf numFmtId="0" fontId="15" fillId="2" borderId="8" xfId="2" applyFont="1" applyFill="1" applyBorder="1" applyAlignment="1" applyProtection="1">
      <alignment horizontal="center" vertical="center" wrapText="1"/>
    </xf>
    <xf numFmtId="0" fontId="15" fillId="2" borderId="9" xfId="2" applyFont="1" applyFill="1" applyBorder="1" applyAlignment="1" applyProtection="1">
      <alignment horizontal="center" vertical="center" wrapText="1"/>
    </xf>
    <xf numFmtId="0" fontId="15" fillId="2" borderId="3" xfId="2" applyFont="1" applyFill="1" applyBorder="1" applyAlignment="1" applyProtection="1">
      <alignment horizontal="center" vertical="center" wrapText="1"/>
    </xf>
    <xf numFmtId="0" fontId="15" fillId="2" borderId="2" xfId="2" applyFont="1" applyFill="1" applyBorder="1" applyAlignment="1" applyProtection="1">
      <alignment horizontal="center" vertical="center" textRotation="180" wrapText="1"/>
    </xf>
    <xf numFmtId="0" fontId="15" fillId="2" borderId="16" xfId="2" applyFont="1" applyFill="1" applyBorder="1" applyAlignment="1" applyProtection="1">
      <alignment horizontal="center" vertical="center" textRotation="180" wrapText="1"/>
    </xf>
    <xf numFmtId="0" fontId="15" fillId="2" borderId="5" xfId="2" applyFont="1" applyFill="1" applyBorder="1" applyAlignment="1" applyProtection="1">
      <alignment horizontal="center" vertical="center" textRotation="180" wrapText="1"/>
    </xf>
    <xf numFmtId="0" fontId="15" fillId="2" borderId="4" xfId="2" applyFont="1" applyFill="1" applyBorder="1" applyAlignment="1" applyProtection="1">
      <alignment horizontal="center" vertical="center" textRotation="180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1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1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2.701348379633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103</v>
      </c>
      <c r="B1" s="5" t="s">
        <v>103</v>
      </c>
      <c r="C1" s="5" t="s">
        <v>103</v>
      </c>
      <c r="D1" s="5" t="s">
        <v>103</v>
      </c>
      <c r="E1" s="5" t="s">
        <v>103</v>
      </c>
      <c r="F1" s="5" t="s">
        <v>103</v>
      </c>
      <c r="G1" s="5" t="s">
        <v>103</v>
      </c>
      <c r="H1" s="5" t="s">
        <v>103</v>
      </c>
      <c r="I1" s="5" t="s">
        <v>103</v>
      </c>
      <c r="J1" s="5" t="s">
        <v>103</v>
      </c>
      <c r="K1" s="5" t="s">
        <v>103</v>
      </c>
      <c r="L1" s="5" t="s">
        <v>103</v>
      </c>
      <c r="M1" s="5" t="s">
        <v>103</v>
      </c>
      <c r="N1" s="5" t="s">
        <v>103</v>
      </c>
      <c r="O1" s="5" t="s">
        <v>103</v>
      </c>
      <c r="P1" s="5" t="s">
        <v>103</v>
      </c>
      <c r="Q1" s="5" t="s">
        <v>103</v>
      </c>
      <c r="R1" s="5" t="s">
        <v>103</v>
      </c>
      <c r="S1" s="5" t="s">
        <v>103</v>
      </c>
      <c r="T1" s="5" t="s">
        <v>103</v>
      </c>
      <c r="U1" s="5" t="s">
        <v>103</v>
      </c>
      <c r="V1" s="5" t="s">
        <v>103</v>
      </c>
      <c r="W1" s="5" t="s">
        <v>103</v>
      </c>
      <c r="X1" s="5" t="s">
        <v>103</v>
      </c>
      <c r="Y1" s="5" t="s">
        <v>103</v>
      </c>
      <c r="Z1" s="5" t="s">
        <v>103</v>
      </c>
      <c r="AA1" s="5" t="s">
        <v>103</v>
      </c>
      <c r="AB1" s="5" t="s">
        <v>103</v>
      </c>
      <c r="AC1" s="5" t="s">
        <v>103</v>
      </c>
      <c r="AD1" s="5" t="s">
        <v>103</v>
      </c>
      <c r="AE1" s="5" t="s">
        <v>103</v>
      </c>
      <c r="AF1" s="5" t="s">
        <v>103</v>
      </c>
      <c r="AG1" s="5" t="s">
        <v>103</v>
      </c>
      <c r="AH1" s="5" t="s">
        <v>103</v>
      </c>
      <c r="AI1" s="5" t="s">
        <v>103</v>
      </c>
      <c r="AJ1" s="5" t="s">
        <v>103</v>
      </c>
      <c r="AK1" s="5" t="s">
        <v>103</v>
      </c>
      <c r="AQ1" s="1" t="s">
        <v>39</v>
      </c>
      <c r="AR1" t="s">
        <v>29</v>
      </c>
    </row>
    <row r="2" spans="1:57" x14ac:dyDescent="0.2">
      <c r="A2" s="5" t="s">
        <v>103</v>
      </c>
      <c r="B2" s="22" t="e">
        <f>#REF!</f>
        <v>#REF!</v>
      </c>
      <c r="C2" s="5" t="s">
        <v>103</v>
      </c>
      <c r="D2" s="5" t="s">
        <v>103</v>
      </c>
      <c r="E2" s="5" t="s">
        <v>103</v>
      </c>
      <c r="F2" s="5" t="s">
        <v>103</v>
      </c>
      <c r="G2" s="5" t="s">
        <v>103</v>
      </c>
      <c r="H2" s="5" t="s">
        <v>103</v>
      </c>
      <c r="I2" s="5" t="s">
        <v>103</v>
      </c>
      <c r="J2" s="5" t="s">
        <v>103</v>
      </c>
      <c r="K2" s="5" t="s">
        <v>103</v>
      </c>
      <c r="L2" s="5" t="s">
        <v>103</v>
      </c>
      <c r="M2" s="5" t="s">
        <v>103</v>
      </c>
      <c r="N2" s="5" t="s">
        <v>103</v>
      </c>
      <c r="O2" s="5" t="s">
        <v>103</v>
      </c>
      <c r="P2" s="5" t="s">
        <v>103</v>
      </c>
      <c r="Q2" s="5" t="s">
        <v>103</v>
      </c>
      <c r="R2" s="5" t="s">
        <v>103</v>
      </c>
      <c r="S2" s="5" t="s">
        <v>103</v>
      </c>
      <c r="T2" s="5" t="s">
        <v>103</v>
      </c>
      <c r="U2" s="5" t="s">
        <v>103</v>
      </c>
      <c r="V2" s="5" t="s">
        <v>103</v>
      </c>
      <c r="W2" s="5" t="s">
        <v>103</v>
      </c>
      <c r="X2" s="5" t="s">
        <v>103</v>
      </c>
      <c r="Y2" s="5" t="s">
        <v>103</v>
      </c>
      <c r="Z2" s="5" t="s">
        <v>103</v>
      </c>
      <c r="AA2" s="5" t="s">
        <v>103</v>
      </c>
      <c r="AB2" s="5" t="s">
        <v>103</v>
      </c>
      <c r="AC2" s="5" t="s">
        <v>103</v>
      </c>
      <c r="AD2" s="5" t="s">
        <v>103</v>
      </c>
      <c r="AE2" s="5" t="s">
        <v>103</v>
      </c>
      <c r="AF2" s="5" t="s">
        <v>103</v>
      </c>
      <c r="AG2" s="5" t="s">
        <v>103</v>
      </c>
      <c r="AH2" s="5" t="s">
        <v>103</v>
      </c>
      <c r="AI2" s="5" t="s">
        <v>103</v>
      </c>
      <c r="AJ2" s="5" t="s">
        <v>103</v>
      </c>
      <c r="AK2" s="5" t="s">
        <v>103</v>
      </c>
    </row>
    <row r="3" spans="1:57" ht="15.75" customHeight="1" x14ac:dyDescent="0.2">
      <c r="A3" s="1" t="s">
        <v>50</v>
      </c>
      <c r="B3" t="s">
        <v>67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s="5" t="s">
        <v>103</v>
      </c>
      <c r="L3" s="5" t="s">
        <v>103</v>
      </c>
      <c r="M3" s="5" t="s">
        <v>103</v>
      </c>
      <c r="N3" s="5" t="s">
        <v>103</v>
      </c>
      <c r="O3" s="5" t="s">
        <v>103</v>
      </c>
      <c r="P3" s="5" t="s">
        <v>103</v>
      </c>
      <c r="Q3" s="5" t="s">
        <v>103</v>
      </c>
      <c r="R3" s="5" t="s">
        <v>103</v>
      </c>
      <c r="S3" s="5" t="s">
        <v>103</v>
      </c>
      <c r="T3" s="18" t="s">
        <v>103</v>
      </c>
      <c r="U3" s="1" t="s">
        <v>39</v>
      </c>
      <c r="V3" s="1" t="s">
        <v>40</v>
      </c>
      <c r="W3" s="1" t="s">
        <v>54</v>
      </c>
      <c r="X3" s="1" t="s">
        <v>55</v>
      </c>
      <c r="Y3" s="1" t="s">
        <v>56</v>
      </c>
      <c r="Z3" s="1" t="s">
        <v>57</v>
      </c>
      <c r="AA3" s="1" t="s">
        <v>41</v>
      </c>
      <c r="AB3" s="1" t="s">
        <v>42</v>
      </c>
      <c r="AC3" s="1" t="s">
        <v>43</v>
      </c>
      <c r="AD3" s="1" t="s">
        <v>58</v>
      </c>
      <c r="AE3" s="1" t="s">
        <v>59</v>
      </c>
      <c r="AF3" s="1" t="s">
        <v>60</v>
      </c>
      <c r="AG3" s="1" t="s">
        <v>61</v>
      </c>
      <c r="AH3" s="1" t="s">
        <v>62</v>
      </c>
      <c r="AI3" s="1" t="s">
        <v>63</v>
      </c>
      <c r="AJ3" s="1" t="s">
        <v>64</v>
      </c>
      <c r="AK3" s="1" t="s">
        <v>65</v>
      </c>
      <c r="AQ3" s="1" t="s">
        <v>40</v>
      </c>
      <c r="AR3" s="1" t="s">
        <v>54</v>
      </c>
      <c r="AS3" s="1" t="s">
        <v>55</v>
      </c>
      <c r="AT3" s="1" t="s">
        <v>56</v>
      </c>
      <c r="AU3" s="1" t="s">
        <v>57</v>
      </c>
      <c r="AV3" s="1" t="s">
        <v>41</v>
      </c>
      <c r="AW3" s="1" t="s">
        <v>42</v>
      </c>
      <c r="AX3" s="1" t="s">
        <v>43</v>
      </c>
      <c r="AY3" s="1" t="s">
        <v>58</v>
      </c>
      <c r="AZ3" s="1" t="s">
        <v>59</v>
      </c>
      <c r="BA3" s="1" t="s">
        <v>61</v>
      </c>
      <c r="BB3" s="1" t="s">
        <v>62</v>
      </c>
      <c r="BC3" s="1" t="s">
        <v>63</v>
      </c>
      <c r="BD3" s="1" t="s">
        <v>65</v>
      </c>
    </row>
    <row r="4" spans="1:57" ht="15.75" customHeight="1" x14ac:dyDescent="0.2">
      <c r="A4" s="2" t="s">
        <v>23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23</v>
      </c>
      <c r="V4" t="s">
        <v>24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51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23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51</v>
      </c>
      <c r="AW5" t="s">
        <v>51</v>
      </c>
      <c r="AX5" t="s">
        <v>51</v>
      </c>
      <c r="AY5" t="s">
        <v>51</v>
      </c>
      <c r="AZ5" t="s">
        <v>104</v>
      </c>
      <c r="BA5" t="s">
        <v>51</v>
      </c>
      <c r="BB5" t="s">
        <v>51</v>
      </c>
      <c r="BC5" t="s">
        <v>104</v>
      </c>
      <c r="BD5" t="s">
        <v>51</v>
      </c>
      <c r="BE5" s="20"/>
    </row>
    <row r="6" spans="1:57" x14ac:dyDescent="0.2">
      <c r="A6" s="2" t="s">
        <v>29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51</v>
      </c>
      <c r="V6" t="s">
        <v>51</v>
      </c>
      <c r="W6" t="s">
        <v>51</v>
      </c>
      <c r="X6" t="s">
        <v>51</v>
      </c>
      <c r="Y6" t="s">
        <v>51</v>
      </c>
      <c r="Z6" t="s">
        <v>51</v>
      </c>
      <c r="AA6" t="s">
        <v>51</v>
      </c>
      <c r="AB6" t="s">
        <v>51</v>
      </c>
      <c r="AC6" t="s">
        <v>51</v>
      </c>
      <c r="AD6" t="s">
        <v>51</v>
      </c>
      <c r="AE6" t="s">
        <v>104</v>
      </c>
      <c r="AF6" t="s">
        <v>104</v>
      </c>
      <c r="AG6" t="s">
        <v>51</v>
      </c>
      <c r="AH6" t="s">
        <v>51</v>
      </c>
      <c r="AI6" t="s">
        <v>104</v>
      </c>
      <c r="AJ6" t="s">
        <v>104</v>
      </c>
      <c r="AK6" t="s">
        <v>51</v>
      </c>
      <c r="BE6" s="20"/>
    </row>
    <row r="7" spans="1:57" x14ac:dyDescent="0.2">
      <c r="A7" s="2" t="s">
        <v>26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29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 x14ac:dyDescent="0.2">
      <c r="A8" s="2" t="s">
        <v>27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29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51</v>
      </c>
      <c r="AB8" t="s">
        <v>51</v>
      </c>
      <c r="AC8" t="s">
        <v>51</v>
      </c>
      <c r="AD8" t="s">
        <v>51</v>
      </c>
      <c r="AE8" t="s">
        <v>104</v>
      </c>
      <c r="AF8" t="s">
        <v>104</v>
      </c>
      <c r="AG8" t="s">
        <v>51</v>
      </c>
      <c r="AH8" t="s">
        <v>51</v>
      </c>
      <c r="AI8" t="s">
        <v>104</v>
      </c>
      <c r="AJ8" t="s">
        <v>104</v>
      </c>
      <c r="AK8" t="s">
        <v>51</v>
      </c>
    </row>
    <row r="9" spans="1:57" x14ac:dyDescent="0.2">
      <c r="A9" s="2" t="s">
        <v>28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26</v>
      </c>
      <c r="V9" t="s">
        <v>144</v>
      </c>
      <c r="W9">
        <v>5</v>
      </c>
      <c r="X9" t="s">
        <v>51</v>
      </c>
      <c r="Y9" t="s">
        <v>51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 x14ac:dyDescent="0.2">
      <c r="A10" s="2" t="s">
        <v>32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26</v>
      </c>
      <c r="V10" t="s">
        <v>145</v>
      </c>
      <c r="W10">
        <v>3</v>
      </c>
      <c r="X10" t="s">
        <v>51</v>
      </c>
      <c r="Y10" t="s">
        <v>51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 x14ac:dyDescent="0.2">
      <c r="A11" s="2" t="s">
        <v>34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26</v>
      </c>
      <c r="V11" t="s">
        <v>146</v>
      </c>
      <c r="W11">
        <v>12</v>
      </c>
      <c r="X11">
        <v>3</v>
      </c>
      <c r="Y11" t="s">
        <v>51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 x14ac:dyDescent="0.2">
      <c r="A12" s="2" t="s">
        <v>35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26</v>
      </c>
      <c r="V12" t="s">
        <v>147</v>
      </c>
      <c r="W12">
        <v>23</v>
      </c>
      <c r="X12">
        <v>4</v>
      </c>
      <c r="Y12" t="s">
        <v>51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 x14ac:dyDescent="0.2">
      <c r="A13" s="2" t="s">
        <v>177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26</v>
      </c>
      <c r="V13" t="s">
        <v>148</v>
      </c>
      <c r="W13">
        <v>22</v>
      </c>
      <c r="X13" t="s">
        <v>51</v>
      </c>
      <c r="Y13" t="s">
        <v>51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 x14ac:dyDescent="0.2">
      <c r="A14" s="2" t="s">
        <v>38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26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 x14ac:dyDescent="0.2">
      <c r="A15" s="2" t="s">
        <v>47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26</v>
      </c>
      <c r="V15" t="s">
        <v>150</v>
      </c>
      <c r="W15">
        <v>20</v>
      </c>
      <c r="X15" t="s">
        <v>51</v>
      </c>
      <c r="Y15" t="s">
        <v>51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 x14ac:dyDescent="0.2">
      <c r="A16" s="2" t="s">
        <v>48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27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 x14ac:dyDescent="0.2">
      <c r="A17" s="2" t="s">
        <v>49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28</v>
      </c>
      <c r="V17" t="s">
        <v>127</v>
      </c>
      <c r="W17" t="s">
        <v>51</v>
      </c>
      <c r="X17" t="s">
        <v>51</v>
      </c>
      <c r="Y17" t="s">
        <v>51</v>
      </c>
      <c r="Z17" t="s">
        <v>51</v>
      </c>
      <c r="AA17" t="s">
        <v>51</v>
      </c>
      <c r="AB17" t="s">
        <v>51</v>
      </c>
      <c r="AC17" t="s">
        <v>51</v>
      </c>
      <c r="AD17" t="s">
        <v>51</v>
      </c>
      <c r="AE17" t="s">
        <v>104</v>
      </c>
      <c r="AF17" t="s">
        <v>104</v>
      </c>
      <c r="AG17" t="s">
        <v>51</v>
      </c>
      <c r="AH17" t="s">
        <v>51</v>
      </c>
      <c r="AI17" t="s">
        <v>104</v>
      </c>
      <c r="AJ17" t="s">
        <v>104</v>
      </c>
      <c r="AK17" t="s">
        <v>51</v>
      </c>
    </row>
    <row r="18" spans="1:37" x14ac:dyDescent="0.2">
      <c r="A18" s="2" t="s">
        <v>184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28</v>
      </c>
      <c r="V18" t="s">
        <v>128</v>
      </c>
      <c r="W18" t="s">
        <v>51</v>
      </c>
      <c r="X18" t="s">
        <v>51</v>
      </c>
      <c r="Y18" t="s">
        <v>51</v>
      </c>
      <c r="Z18" t="s">
        <v>51</v>
      </c>
      <c r="AA18" t="s">
        <v>51</v>
      </c>
      <c r="AB18" t="s">
        <v>51</v>
      </c>
      <c r="AC18" t="s">
        <v>51</v>
      </c>
      <c r="AD18" t="s">
        <v>51</v>
      </c>
      <c r="AE18" t="s">
        <v>104</v>
      </c>
      <c r="AF18" t="s">
        <v>104</v>
      </c>
      <c r="AG18" t="s">
        <v>51</v>
      </c>
      <c r="AH18" t="s">
        <v>51</v>
      </c>
      <c r="AI18" t="s">
        <v>104</v>
      </c>
      <c r="AJ18" t="s">
        <v>104</v>
      </c>
      <c r="AK18" t="s">
        <v>51</v>
      </c>
    </row>
    <row r="19" spans="1:37" x14ac:dyDescent="0.2">
      <c r="A19" s="2" t="s">
        <v>185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28</v>
      </c>
      <c r="V19" t="s">
        <v>129</v>
      </c>
      <c r="W19" t="s">
        <v>51</v>
      </c>
      <c r="X19" t="s">
        <v>51</v>
      </c>
      <c r="Y19" t="s">
        <v>51</v>
      </c>
      <c r="Z19" t="s">
        <v>51</v>
      </c>
      <c r="AA19" t="s">
        <v>51</v>
      </c>
      <c r="AB19" t="s">
        <v>51</v>
      </c>
      <c r="AC19" t="s">
        <v>51</v>
      </c>
      <c r="AD19" t="s">
        <v>51</v>
      </c>
      <c r="AE19" t="s">
        <v>104</v>
      </c>
      <c r="AF19" t="s">
        <v>104</v>
      </c>
      <c r="AG19" t="s">
        <v>51</v>
      </c>
      <c r="AH19" t="s">
        <v>51</v>
      </c>
      <c r="AI19" t="s">
        <v>104</v>
      </c>
      <c r="AJ19" t="s">
        <v>104</v>
      </c>
      <c r="AK19" t="s">
        <v>51</v>
      </c>
    </row>
    <row r="20" spans="1:37" x14ac:dyDescent="0.2">
      <c r="A20" s="2" t="s">
        <v>52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30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 x14ac:dyDescent="0.2">
      <c r="T21" s="19" t="str">
        <f t="shared" si="0"/>
        <v>JET AIRWAYSB- 737 - 800</v>
      </c>
      <c r="U21" t="s">
        <v>30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30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30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30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30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 x14ac:dyDescent="0.2">
      <c r="T26" s="19" t="str">
        <f t="shared" si="0"/>
        <v>JETLITEBoeing 737 - 700</v>
      </c>
      <c r="U26" t="s">
        <v>31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 x14ac:dyDescent="0.2">
      <c r="T27" s="19" t="str">
        <f t="shared" si="0"/>
        <v>JETLITEBoeing 737 - 800</v>
      </c>
      <c r="U27" t="s">
        <v>31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 x14ac:dyDescent="0.2">
      <c r="T28" s="19" t="str">
        <f t="shared" si="0"/>
        <v>SPICEJET737 - 700</v>
      </c>
      <c r="U28" t="s">
        <v>32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 x14ac:dyDescent="0.2">
      <c r="T29" s="19" t="str">
        <f t="shared" si="0"/>
        <v>SPICEJET737 - 800</v>
      </c>
      <c r="U29" t="s">
        <v>32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32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 x14ac:dyDescent="0.2">
      <c r="T31" s="19" t="str">
        <f t="shared" si="0"/>
        <v>SPICEJETDH8</v>
      </c>
      <c r="U31" t="s">
        <v>32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 x14ac:dyDescent="0.2">
      <c r="T32" s="19" t="str">
        <f t="shared" si="0"/>
        <v>SPICEJETA319</v>
      </c>
      <c r="U32" t="s">
        <v>32</v>
      </c>
      <c r="V32" t="s">
        <v>159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104</v>
      </c>
      <c r="AF32" t="s">
        <v>104</v>
      </c>
      <c r="AG32" t="s">
        <v>51</v>
      </c>
      <c r="AH32" t="s">
        <v>51</v>
      </c>
      <c r="AI32" t="s">
        <v>104</v>
      </c>
      <c r="AJ32" t="s">
        <v>104</v>
      </c>
      <c r="AK32" t="s">
        <v>51</v>
      </c>
    </row>
    <row r="33" spans="20:37" x14ac:dyDescent="0.2">
      <c r="T33" s="19" t="str">
        <f t="shared" si="0"/>
        <v>SPICEJETA 320</v>
      </c>
      <c r="U33" t="s">
        <v>32</v>
      </c>
      <c r="V33" t="s">
        <v>160</v>
      </c>
      <c r="W33" t="s">
        <v>51</v>
      </c>
      <c r="X33" t="s">
        <v>51</v>
      </c>
      <c r="Y33" t="s">
        <v>51</v>
      </c>
      <c r="Z33" t="s">
        <v>51</v>
      </c>
      <c r="AA33" t="s">
        <v>51</v>
      </c>
      <c r="AB33" t="s">
        <v>51</v>
      </c>
      <c r="AC33" t="s">
        <v>51</v>
      </c>
      <c r="AD33" t="s">
        <v>51</v>
      </c>
      <c r="AE33" t="s">
        <v>104</v>
      </c>
      <c r="AF33" t="s">
        <v>104</v>
      </c>
      <c r="AG33" t="s">
        <v>51</v>
      </c>
      <c r="AH33" t="s">
        <v>51</v>
      </c>
      <c r="AI33" t="s">
        <v>104</v>
      </c>
      <c r="AJ33" t="s">
        <v>104</v>
      </c>
      <c r="AK33" t="s">
        <v>51</v>
      </c>
    </row>
    <row r="34" spans="20:37" x14ac:dyDescent="0.2">
      <c r="T34" s="19" t="str">
        <f t="shared" si="0"/>
        <v>AIR COSTA(blank)</v>
      </c>
      <c r="U34" t="s">
        <v>33</v>
      </c>
      <c r="V34" t="s">
        <v>51</v>
      </c>
      <c r="W34" t="s">
        <v>51</v>
      </c>
      <c r="X34" t="s">
        <v>51</v>
      </c>
      <c r="Y34" t="s">
        <v>51</v>
      </c>
      <c r="Z34" t="s">
        <v>51</v>
      </c>
      <c r="AA34" t="s">
        <v>51</v>
      </c>
      <c r="AB34" t="s">
        <v>51</v>
      </c>
      <c r="AC34" t="s">
        <v>51</v>
      </c>
      <c r="AD34" t="s">
        <v>51</v>
      </c>
      <c r="AE34" t="s">
        <v>104</v>
      </c>
      <c r="AF34" t="s">
        <v>104</v>
      </c>
      <c r="AG34" t="s">
        <v>51</v>
      </c>
      <c r="AH34" t="s">
        <v>51</v>
      </c>
      <c r="AI34" t="s">
        <v>104</v>
      </c>
      <c r="AJ34" t="s">
        <v>104</v>
      </c>
      <c r="AK34" t="s">
        <v>51</v>
      </c>
    </row>
    <row r="35" spans="20:37" x14ac:dyDescent="0.2">
      <c r="T35" s="19" t="str">
        <f t="shared" si="0"/>
        <v>AIR ASIAAIRBUS A320</v>
      </c>
      <c r="U35" t="s">
        <v>34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35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35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51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 x14ac:dyDescent="0.2">
      <c r="T40" s="19" t="str">
        <f t="shared" si="0"/>
        <v>AIR PEGASUS(blank)</v>
      </c>
      <c r="U40" t="s">
        <v>37</v>
      </c>
      <c r="V40" t="s">
        <v>51</v>
      </c>
      <c r="W40" t="s">
        <v>51</v>
      </c>
      <c r="X40" t="s">
        <v>51</v>
      </c>
      <c r="Y40" t="s">
        <v>51</v>
      </c>
      <c r="Z40" t="s">
        <v>51</v>
      </c>
      <c r="AA40" t="s">
        <v>51</v>
      </c>
      <c r="AB40" t="s">
        <v>51</v>
      </c>
      <c r="AC40" t="s">
        <v>51</v>
      </c>
      <c r="AD40" t="s">
        <v>51</v>
      </c>
      <c r="AE40" t="s">
        <v>104</v>
      </c>
      <c r="AF40" t="s">
        <v>104</v>
      </c>
      <c r="AG40" t="s">
        <v>51</v>
      </c>
      <c r="AH40" t="s">
        <v>51</v>
      </c>
      <c r="AI40" t="s">
        <v>104</v>
      </c>
      <c r="AJ40" t="s">
        <v>104</v>
      </c>
      <c r="AK40" t="s">
        <v>51</v>
      </c>
    </row>
    <row r="41" spans="20:37" x14ac:dyDescent="0.2">
      <c r="T41" s="19" t="str">
        <f t="shared" si="0"/>
        <v>TRUEJETATR 72-212 A / VT-TMK</v>
      </c>
      <c r="U41" t="s">
        <v>38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38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38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38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47</v>
      </c>
      <c r="V45" t="s">
        <v>51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48</v>
      </c>
      <c r="V46" t="s">
        <v>51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49</v>
      </c>
      <c r="V47" t="s">
        <v>51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132</v>
      </c>
      <c r="V48" t="s">
        <v>51</v>
      </c>
      <c r="W48" t="s">
        <v>51</v>
      </c>
      <c r="X48" t="s">
        <v>51</v>
      </c>
      <c r="Y48" t="s">
        <v>51</v>
      </c>
      <c r="Z48" t="s">
        <v>51</v>
      </c>
      <c r="AA48" t="s">
        <v>51</v>
      </c>
      <c r="AB48" t="s">
        <v>51</v>
      </c>
      <c r="AC48" t="s">
        <v>51</v>
      </c>
      <c r="AD48" t="s">
        <v>51</v>
      </c>
      <c r="AE48" t="s">
        <v>104</v>
      </c>
      <c r="AF48" t="s">
        <v>104</v>
      </c>
      <c r="AG48" t="s">
        <v>51</v>
      </c>
      <c r="AH48" t="s">
        <v>51</v>
      </c>
      <c r="AI48" t="s">
        <v>104</v>
      </c>
      <c r="AJ48" t="s">
        <v>104</v>
      </c>
      <c r="AK48" t="s">
        <v>51</v>
      </c>
    </row>
    <row r="49" spans="20:37" x14ac:dyDescent="0.2">
      <c r="T49" s="19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175</v>
      </c>
      <c r="V54" t="s">
        <v>181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175</v>
      </c>
      <c r="V55" t="s">
        <v>182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176</v>
      </c>
      <c r="V56" t="s">
        <v>182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50</v>
      </c>
      <c r="B3" t="s">
        <v>68</v>
      </c>
      <c r="C3" t="s">
        <v>78</v>
      </c>
      <c r="V3" s="4" t="s">
        <v>79</v>
      </c>
      <c r="W3" s="1" t="s">
        <v>44</v>
      </c>
      <c r="X3" s="1" t="s">
        <v>66</v>
      </c>
      <c r="Y3" t="s">
        <v>77</v>
      </c>
      <c r="Z3" t="s">
        <v>68</v>
      </c>
      <c r="AA3" t="s">
        <v>78</v>
      </c>
    </row>
    <row r="4" spans="1:27" x14ac:dyDescent="0.2">
      <c r="A4" s="2" t="s">
        <v>34</v>
      </c>
      <c r="B4" s="3">
        <v>2467</v>
      </c>
      <c r="C4" s="3">
        <v>3806.1423290000002</v>
      </c>
      <c r="V4" t="str">
        <f>W4&amp;X4</f>
        <v>AIR ASIAP1</v>
      </c>
      <c r="W4" t="s">
        <v>34</v>
      </c>
      <c r="X4" t="s">
        <v>7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26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34</v>
      </c>
      <c r="X5" t="s">
        <v>8</v>
      </c>
      <c r="Y5" s="3"/>
      <c r="Z5" s="3"/>
      <c r="AA5" s="3"/>
    </row>
    <row r="6" spans="1:27" x14ac:dyDescent="0.2">
      <c r="A6" s="2" t="s">
        <v>27</v>
      </c>
      <c r="B6" s="3">
        <v>1472</v>
      </c>
      <c r="C6" s="3">
        <v>2956.1</v>
      </c>
      <c r="V6" t="str">
        <f t="shared" si="0"/>
        <v>AIR ASIAP3</v>
      </c>
      <c r="W6" t="s">
        <v>34</v>
      </c>
      <c r="X6" t="s">
        <v>9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49</v>
      </c>
      <c r="B7" s="3">
        <v>61052</v>
      </c>
      <c r="C7" s="3">
        <v>93775.981349000009</v>
      </c>
      <c r="V7" t="str">
        <f t="shared" si="0"/>
        <v>AIR ASIAP4</v>
      </c>
      <c r="W7" t="s">
        <v>34</v>
      </c>
      <c r="X7" t="s">
        <v>10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28</v>
      </c>
      <c r="B8" s="3">
        <v>648</v>
      </c>
      <c r="C8" s="3">
        <v>1392.7165519999999</v>
      </c>
      <c r="V8" t="str">
        <f t="shared" si="0"/>
        <v>AIR ASIAP4.1</v>
      </c>
      <c r="W8" t="s">
        <v>34</v>
      </c>
      <c r="X8" t="s">
        <v>45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36</v>
      </c>
      <c r="B9" s="3">
        <v>1389</v>
      </c>
      <c r="C9" s="3">
        <v>1617.18</v>
      </c>
      <c r="V9" t="str">
        <f t="shared" si="0"/>
        <v>AIR ASIAP4.2</v>
      </c>
      <c r="W9" t="s">
        <v>34</v>
      </c>
      <c r="X9" t="s">
        <v>46</v>
      </c>
      <c r="Y9" s="3"/>
      <c r="Z9" s="3"/>
      <c r="AA9" s="3"/>
    </row>
    <row r="10" spans="1:27" x14ac:dyDescent="0.2">
      <c r="A10" s="2" t="s">
        <v>29</v>
      </c>
      <c r="B10" s="3">
        <v>4140</v>
      </c>
      <c r="C10" s="3">
        <v>6380</v>
      </c>
      <c r="V10" t="str">
        <f t="shared" si="0"/>
        <v>AIR ASIAP5</v>
      </c>
      <c r="W10" t="s">
        <v>34</v>
      </c>
      <c r="X10" t="s">
        <v>11</v>
      </c>
      <c r="Y10" s="3"/>
      <c r="Z10" s="3"/>
      <c r="AA10" s="3"/>
    </row>
    <row r="11" spans="1:27" x14ac:dyDescent="0.2">
      <c r="A11" s="2" t="s">
        <v>23</v>
      </c>
      <c r="B11" s="3">
        <v>25201</v>
      </c>
      <c r="C11" s="3">
        <v>33290.79</v>
      </c>
      <c r="V11" t="str">
        <f t="shared" si="0"/>
        <v>AIR ASIAP6</v>
      </c>
      <c r="W11" t="s">
        <v>34</v>
      </c>
      <c r="X11" t="s">
        <v>12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47</v>
      </c>
      <c r="B12" s="3">
        <v>12112</v>
      </c>
      <c r="C12" s="3">
        <v>34401.086552000001</v>
      </c>
      <c r="V12" t="str">
        <f t="shared" si="0"/>
        <v>AIR INDIAP1</v>
      </c>
      <c r="W12" t="s">
        <v>26</v>
      </c>
      <c r="X12" t="s">
        <v>7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48</v>
      </c>
      <c r="B13" s="3">
        <v>48940</v>
      </c>
      <c r="C13" s="3">
        <v>59374.894797000001</v>
      </c>
      <c r="V13" t="str">
        <f t="shared" si="0"/>
        <v>AIR INDIAP2</v>
      </c>
      <c r="W13" t="s">
        <v>26</v>
      </c>
      <c r="X13" t="s">
        <v>8</v>
      </c>
      <c r="Y13" s="3"/>
      <c r="Z13" s="3"/>
      <c r="AA13" s="3"/>
    </row>
    <row r="14" spans="1:27" x14ac:dyDescent="0.2">
      <c r="A14" s="2" t="s">
        <v>32</v>
      </c>
      <c r="B14" s="3">
        <v>12094</v>
      </c>
      <c r="C14" s="3">
        <v>9401.4900000000016</v>
      </c>
      <c r="V14" t="str">
        <f t="shared" si="0"/>
        <v>AIR INDIAP3</v>
      </c>
      <c r="W14" t="s">
        <v>26</v>
      </c>
      <c r="X14" t="s">
        <v>9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38</v>
      </c>
      <c r="B15" s="3">
        <v>895</v>
      </c>
      <c r="C15" s="3">
        <v>801.87858399999982</v>
      </c>
      <c r="V15" t="str">
        <f t="shared" si="0"/>
        <v>AIR INDIAP4</v>
      </c>
      <c r="W15" t="s">
        <v>26</v>
      </c>
      <c r="X15" t="s">
        <v>10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35</v>
      </c>
      <c r="B16" s="3">
        <v>2721</v>
      </c>
      <c r="C16" s="3">
        <v>4070.3999999999996</v>
      </c>
      <c r="V16" t="str">
        <f t="shared" si="0"/>
        <v>AIR INDIAP4.1</v>
      </c>
      <c r="W16" t="s">
        <v>26</v>
      </c>
      <c r="X16" t="s">
        <v>45</v>
      </c>
      <c r="Y16" s="3"/>
      <c r="Z16" s="3"/>
      <c r="AA16" s="3"/>
    </row>
    <row r="17" spans="1:27" x14ac:dyDescent="0.2">
      <c r="A17" s="2" t="s">
        <v>51</v>
      </c>
      <c r="B17" s="3"/>
      <c r="C17" s="3"/>
      <c r="V17" t="str">
        <f t="shared" si="0"/>
        <v>AIR INDIAP4.2</v>
      </c>
      <c r="W17" t="s">
        <v>26</v>
      </c>
      <c r="X17" t="s">
        <v>46</v>
      </c>
      <c r="Y17" s="3"/>
      <c r="Z17" s="3"/>
      <c r="AA17" s="3"/>
    </row>
    <row r="18" spans="1:27" x14ac:dyDescent="0.2">
      <c r="A18" s="2" t="s">
        <v>184</v>
      </c>
      <c r="B18" s="3"/>
      <c r="C18" s="3"/>
      <c r="V18" t="str">
        <f t="shared" si="0"/>
        <v>AIR INDIAP5</v>
      </c>
      <c r="W18" t="s">
        <v>26</v>
      </c>
      <c r="X18" t="s">
        <v>11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186</v>
      </c>
      <c r="B19" s="3">
        <v>33</v>
      </c>
      <c r="C19" s="3">
        <v>7.0138840000000009</v>
      </c>
      <c r="V19" t="str">
        <f t="shared" si="0"/>
        <v>AIR INDIAP6</v>
      </c>
      <c r="W19" t="s">
        <v>26</v>
      </c>
      <c r="X19" t="s">
        <v>12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52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27</v>
      </c>
      <c r="X20" t="s">
        <v>7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27</v>
      </c>
      <c r="X21" t="s">
        <v>8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27</v>
      </c>
      <c r="X22" t="s">
        <v>9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27</v>
      </c>
      <c r="X23" t="s">
        <v>10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27</v>
      </c>
      <c r="X24" t="s">
        <v>45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27</v>
      </c>
      <c r="X25" t="s">
        <v>46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27</v>
      </c>
      <c r="X26" t="s">
        <v>11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27</v>
      </c>
      <c r="X27" t="s">
        <v>12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49</v>
      </c>
      <c r="X28" t="s">
        <v>7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49</v>
      </c>
      <c r="X29" t="s">
        <v>8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49</v>
      </c>
      <c r="X30" t="s">
        <v>9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49</v>
      </c>
      <c r="X31" t="s">
        <v>10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49</v>
      </c>
      <c r="X32" t="s">
        <v>45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49</v>
      </c>
      <c r="X33" t="s">
        <v>46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49</v>
      </c>
      <c r="X34" t="s">
        <v>11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49</v>
      </c>
      <c r="X35" t="s">
        <v>12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28</v>
      </c>
      <c r="X36" t="s">
        <v>7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28</v>
      </c>
      <c r="X37" t="s">
        <v>8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28</v>
      </c>
      <c r="X38" t="s">
        <v>9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28</v>
      </c>
      <c r="X39" t="s">
        <v>10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28</v>
      </c>
      <c r="X40" t="s">
        <v>45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28</v>
      </c>
      <c r="X41" t="s">
        <v>46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28</v>
      </c>
      <c r="X42" t="s">
        <v>11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28</v>
      </c>
      <c r="X43" t="s">
        <v>12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36</v>
      </c>
      <c r="X44" t="s">
        <v>7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36</v>
      </c>
      <c r="X45" t="s">
        <v>8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36</v>
      </c>
      <c r="X46" t="s">
        <v>9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36</v>
      </c>
      <c r="X47" t="s">
        <v>10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36</v>
      </c>
      <c r="X48" t="s">
        <v>45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36</v>
      </c>
      <c r="X49" t="s">
        <v>46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36</v>
      </c>
      <c r="X50" t="s">
        <v>11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36</v>
      </c>
      <c r="X51" t="s">
        <v>12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29</v>
      </c>
      <c r="X52" t="s">
        <v>7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29</v>
      </c>
      <c r="X53" t="s">
        <v>8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29</v>
      </c>
      <c r="X54" t="s">
        <v>9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29</v>
      </c>
      <c r="X55" t="s">
        <v>10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29</v>
      </c>
      <c r="X56" t="s">
        <v>45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29</v>
      </c>
      <c r="X57" t="s">
        <v>46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29</v>
      </c>
      <c r="X58" t="s">
        <v>11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29</v>
      </c>
      <c r="X59" t="s">
        <v>12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23</v>
      </c>
      <c r="X60" t="s">
        <v>7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23</v>
      </c>
      <c r="X61" t="s">
        <v>8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23</v>
      </c>
      <c r="X62" t="s">
        <v>9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23</v>
      </c>
      <c r="X63" t="s">
        <v>10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23</v>
      </c>
      <c r="X64" t="s">
        <v>45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23</v>
      </c>
      <c r="X65" t="s">
        <v>46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23</v>
      </c>
      <c r="X66" t="s">
        <v>11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23</v>
      </c>
      <c r="X67" t="s">
        <v>12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47</v>
      </c>
      <c r="X68" t="s">
        <v>7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47</v>
      </c>
      <c r="X69" t="s">
        <v>8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47</v>
      </c>
      <c r="X70" t="s">
        <v>9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47</v>
      </c>
      <c r="X71" t="s">
        <v>10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47</v>
      </c>
      <c r="X72" t="s">
        <v>45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47</v>
      </c>
      <c r="X73" t="s">
        <v>46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47</v>
      </c>
      <c r="X74" t="s">
        <v>11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47</v>
      </c>
      <c r="X75" t="s">
        <v>12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48</v>
      </c>
      <c r="X76" t="s">
        <v>7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48</v>
      </c>
      <c r="X77" t="s">
        <v>8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48</v>
      </c>
      <c r="X78" t="s">
        <v>9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48</v>
      </c>
      <c r="X79" t="s">
        <v>10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48</v>
      </c>
      <c r="X80" t="s">
        <v>45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48</v>
      </c>
      <c r="X81" t="s">
        <v>46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48</v>
      </c>
      <c r="X82" t="s">
        <v>11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48</v>
      </c>
      <c r="X83" t="s">
        <v>12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32</v>
      </c>
      <c r="X84" t="s">
        <v>7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32</v>
      </c>
      <c r="X85" t="s">
        <v>8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32</v>
      </c>
      <c r="X86" t="s">
        <v>9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32</v>
      </c>
      <c r="X87" t="s">
        <v>10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32</v>
      </c>
      <c r="X88" t="s">
        <v>45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32</v>
      </c>
      <c r="X89" t="s">
        <v>46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32</v>
      </c>
      <c r="X90" t="s">
        <v>11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32</v>
      </c>
      <c r="X91" t="s">
        <v>12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38</v>
      </c>
      <c r="X92" t="s">
        <v>7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38</v>
      </c>
      <c r="X93" t="s">
        <v>8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38</v>
      </c>
      <c r="X94" t="s">
        <v>9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38</v>
      </c>
      <c r="X95" t="s">
        <v>10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38</v>
      </c>
      <c r="X96" t="s">
        <v>45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38</v>
      </c>
      <c r="X97" t="s">
        <v>46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38</v>
      </c>
      <c r="X98" t="s">
        <v>11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38</v>
      </c>
      <c r="X99" t="s">
        <v>12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35</v>
      </c>
      <c r="X100" t="s">
        <v>7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35</v>
      </c>
      <c r="X101" t="s">
        <v>8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35</v>
      </c>
      <c r="X102" t="s">
        <v>9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35</v>
      </c>
      <c r="X103" t="s">
        <v>10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35</v>
      </c>
      <c r="X104" t="s">
        <v>45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35</v>
      </c>
      <c r="X105" t="s">
        <v>46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35</v>
      </c>
      <c r="X106" t="s">
        <v>11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35</v>
      </c>
      <c r="X107" t="s">
        <v>12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51</v>
      </c>
      <c r="X108" t="s">
        <v>51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184</v>
      </c>
      <c r="X109" t="s">
        <v>7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184</v>
      </c>
      <c r="X110" t="s">
        <v>8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184</v>
      </c>
      <c r="X111" t="s">
        <v>9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184</v>
      </c>
      <c r="X112" t="s">
        <v>10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184</v>
      </c>
      <c r="X113" t="s">
        <v>45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184</v>
      </c>
      <c r="X114" t="s">
        <v>46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184</v>
      </c>
      <c r="X115" t="s">
        <v>11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184</v>
      </c>
      <c r="X116" t="s">
        <v>12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186</v>
      </c>
      <c r="X117" t="s">
        <v>7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186</v>
      </c>
      <c r="X118" t="s">
        <v>8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186</v>
      </c>
      <c r="X119" t="s">
        <v>9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186</v>
      </c>
      <c r="X120" t="s">
        <v>10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186</v>
      </c>
      <c r="X121" t="s">
        <v>45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186</v>
      </c>
      <c r="X122" t="s">
        <v>46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186</v>
      </c>
      <c r="X123" t="s">
        <v>11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186</v>
      </c>
      <c r="X124" t="s">
        <v>12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21</v>
      </c>
      <c r="C2" s="7" t="s">
        <v>105</v>
      </c>
      <c r="D2" s="7" t="s">
        <v>106</v>
      </c>
      <c r="E2" s="7" t="s">
        <v>22</v>
      </c>
      <c r="F2" s="7" t="s">
        <v>107</v>
      </c>
      <c r="G2" s="8" t="s">
        <v>108</v>
      </c>
      <c r="H2" s="8" t="s">
        <v>109</v>
      </c>
      <c r="I2" s="9" t="s">
        <v>110</v>
      </c>
      <c r="J2" s="8" t="s">
        <v>111</v>
      </c>
      <c r="K2" s="8" t="s">
        <v>112</v>
      </c>
      <c r="L2" s="8" t="s">
        <v>113</v>
      </c>
      <c r="M2" s="8" t="s">
        <v>114</v>
      </c>
      <c r="N2" s="8" t="s">
        <v>115</v>
      </c>
      <c r="O2" s="8" t="s">
        <v>116</v>
      </c>
      <c r="P2" s="8" t="s">
        <v>117</v>
      </c>
      <c r="Q2" s="8" t="s">
        <v>118</v>
      </c>
      <c r="R2" s="8" t="s">
        <v>119</v>
      </c>
      <c r="S2" s="10" t="s">
        <v>120</v>
      </c>
      <c r="T2" s="8" t="s">
        <v>121</v>
      </c>
      <c r="U2" s="8" t="s">
        <v>122</v>
      </c>
      <c r="V2" s="7" t="s">
        <v>123</v>
      </c>
      <c r="W2" s="8" t="s">
        <v>124</v>
      </c>
      <c r="X2" s="7" t="s">
        <v>125</v>
      </c>
      <c r="Y2" s="7" t="s">
        <v>126</v>
      </c>
    </row>
    <row r="3" spans="1:25" x14ac:dyDescent="0.2">
      <c r="A3" s="1" t="s">
        <v>50</v>
      </c>
      <c r="B3" t="s">
        <v>53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5" customFormat="1" x14ac:dyDescent="0.2">
      <c r="A4" s="17" t="s">
        <v>34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26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27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28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36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29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23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30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31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32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38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/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35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51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-66918.63129695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47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48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49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184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185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183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-66918.63129695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52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-200755.89389085001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7" transitionEvaluation="1" transitionEntry="1" codeName="Sheet11">
    <tabColor theme="9" tint="0.39997558519241921"/>
  </sheetPr>
  <dimension ref="A1:Q41"/>
  <sheetViews>
    <sheetView showGridLines="0" tabSelected="1" view="pageBreakPreview" topLeftCell="A7" zoomScaleNormal="100" zoomScaleSheetLayoutView="100" workbookViewId="0">
      <selection activeCell="Q19" sqref="Q19"/>
    </sheetView>
  </sheetViews>
  <sheetFormatPr defaultColWidth="11" defaultRowHeight="35.1" customHeight="1" x14ac:dyDescent="0.25"/>
  <cols>
    <col min="1" max="1" width="21" style="23" customWidth="1"/>
    <col min="2" max="2" width="7.140625" style="23" customWidth="1"/>
    <col min="3" max="4" width="5.85546875" style="23" customWidth="1"/>
    <col min="5" max="5" width="7.42578125" style="23" customWidth="1"/>
    <col min="6" max="6" width="9" style="23" customWidth="1"/>
    <col min="7" max="7" width="11.7109375" style="23" customWidth="1"/>
    <col min="8" max="8" width="11" style="23" customWidth="1"/>
    <col min="9" max="9" width="11.140625" style="23" customWidth="1"/>
    <col min="10" max="10" width="8.85546875" style="23" customWidth="1"/>
    <col min="11" max="11" width="12.42578125" style="23" customWidth="1"/>
    <col min="12" max="12" width="10.7109375" style="23" customWidth="1"/>
    <col min="13" max="13" width="9.140625" style="23" customWidth="1"/>
    <col min="14" max="14" width="12.28515625" style="23" customWidth="1"/>
    <col min="15" max="15" width="11.28515625" style="23" customWidth="1"/>
    <col min="16" max="16384" width="11" style="23"/>
  </cols>
  <sheetData>
    <row r="1" spans="1:15" ht="19.5" customHeight="1" x14ac:dyDescent="0.25">
      <c r="A1" s="41" t="s">
        <v>201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</row>
    <row r="2" spans="1:15" ht="20.25" customHeight="1" x14ac:dyDescent="0.25">
      <c r="A2" s="38" t="s">
        <v>202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</row>
    <row r="3" spans="1:15" ht="22.5" customHeight="1" x14ac:dyDescent="0.25">
      <c r="A3" s="44" t="s">
        <v>187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</row>
    <row r="4" spans="1:15" ht="27.75" customHeight="1" x14ac:dyDescent="0.25">
      <c r="A4" s="47" t="s">
        <v>20</v>
      </c>
      <c r="B4" s="39" t="s">
        <v>6</v>
      </c>
      <c r="C4" s="40"/>
      <c r="D4" s="40"/>
      <c r="E4" s="46"/>
      <c r="F4" s="39" t="s">
        <v>5</v>
      </c>
      <c r="G4" s="40"/>
      <c r="H4" s="46"/>
      <c r="I4" s="39" t="s">
        <v>4</v>
      </c>
      <c r="J4" s="40"/>
      <c r="K4" s="40"/>
      <c r="L4" s="40"/>
      <c r="M4" s="40"/>
      <c r="N4" s="46"/>
    </row>
    <row r="5" spans="1:15" ht="35.1" customHeight="1" x14ac:dyDescent="0.25">
      <c r="A5" s="49"/>
      <c r="B5" s="47" t="s">
        <v>19</v>
      </c>
      <c r="C5" s="47" t="s">
        <v>18</v>
      </c>
      <c r="D5" s="47" t="s">
        <v>17</v>
      </c>
      <c r="E5" s="47" t="s">
        <v>16</v>
      </c>
      <c r="F5" s="47" t="s">
        <v>3</v>
      </c>
      <c r="G5" s="47" t="s">
        <v>25</v>
      </c>
      <c r="H5" s="47" t="s">
        <v>13</v>
      </c>
      <c r="I5" s="39" t="s">
        <v>2</v>
      </c>
      <c r="J5" s="40"/>
      <c r="K5" s="46"/>
      <c r="L5" s="39" t="s">
        <v>1</v>
      </c>
      <c r="M5" s="40"/>
      <c r="N5" s="46"/>
    </row>
    <row r="6" spans="1:15" ht="123.75" customHeight="1" x14ac:dyDescent="0.25">
      <c r="A6" s="50"/>
      <c r="B6" s="48"/>
      <c r="C6" s="48"/>
      <c r="D6" s="48"/>
      <c r="E6" s="48"/>
      <c r="F6" s="48"/>
      <c r="G6" s="48"/>
      <c r="H6" s="48"/>
      <c r="I6" s="24" t="s">
        <v>14</v>
      </c>
      <c r="J6" s="24" t="s">
        <v>15</v>
      </c>
      <c r="K6" s="36" t="s">
        <v>200</v>
      </c>
      <c r="L6" s="24" t="s">
        <v>14</v>
      </c>
      <c r="M6" s="24" t="s">
        <v>15</v>
      </c>
      <c r="N6" s="36" t="s">
        <v>200</v>
      </c>
    </row>
    <row r="7" spans="1:15" ht="22.5" customHeight="1" x14ac:dyDescent="0.25">
      <c r="A7" s="27" t="s">
        <v>188</v>
      </c>
      <c r="B7" s="30">
        <v>20</v>
      </c>
      <c r="C7" s="31">
        <v>0</v>
      </c>
      <c r="D7" s="31">
        <v>12</v>
      </c>
      <c r="E7" s="31">
        <v>8</v>
      </c>
      <c r="F7" s="31">
        <v>122</v>
      </c>
      <c r="G7" s="32" t="s">
        <v>199</v>
      </c>
      <c r="H7" s="33">
        <v>68</v>
      </c>
      <c r="I7" s="32">
        <v>21613</v>
      </c>
      <c r="J7" s="31">
        <v>0</v>
      </c>
      <c r="K7" s="31">
        <v>21656</v>
      </c>
      <c r="L7" s="31">
        <v>37027.763000000043</v>
      </c>
      <c r="M7" s="31">
        <v>0</v>
      </c>
      <c r="N7" s="31">
        <v>37146.329666666708</v>
      </c>
      <c r="O7" s="25"/>
    </row>
    <row r="8" spans="1:15" ht="23.25" customHeight="1" x14ac:dyDescent="0.25">
      <c r="A8" s="28" t="s">
        <v>189</v>
      </c>
      <c r="B8" s="30">
        <v>4</v>
      </c>
      <c r="C8" s="31">
        <v>0</v>
      </c>
      <c r="D8" s="31">
        <v>0</v>
      </c>
      <c r="E8" s="31">
        <v>4</v>
      </c>
      <c r="F8" s="31">
        <v>150</v>
      </c>
      <c r="G8" s="32" t="s">
        <v>199</v>
      </c>
      <c r="H8" s="33">
        <v>73.5</v>
      </c>
      <c r="I8" s="32">
        <v>8102</v>
      </c>
      <c r="J8" s="31">
        <v>112</v>
      </c>
      <c r="K8" s="31">
        <v>8225</v>
      </c>
      <c r="L8" s="31">
        <v>17286.630000000041</v>
      </c>
      <c r="M8" s="31">
        <v>157.7166666666667</v>
      </c>
      <c r="N8" s="31">
        <v>17469.663333333374</v>
      </c>
      <c r="O8" s="25"/>
    </row>
    <row r="9" spans="1:15" ht="22.5" customHeight="1" x14ac:dyDescent="0.25">
      <c r="A9" s="28" t="s">
        <v>189</v>
      </c>
      <c r="B9" s="30">
        <v>5</v>
      </c>
      <c r="C9" s="31">
        <v>0</v>
      </c>
      <c r="D9" s="31">
        <v>0</v>
      </c>
      <c r="E9" s="31">
        <v>5</v>
      </c>
      <c r="F9" s="31">
        <v>180</v>
      </c>
      <c r="G9" s="32" t="s">
        <v>199</v>
      </c>
      <c r="H9" s="33">
        <v>77</v>
      </c>
      <c r="I9" s="32">
        <v>10218</v>
      </c>
      <c r="J9" s="31">
        <v>51</v>
      </c>
      <c r="K9" s="31">
        <v>10281</v>
      </c>
      <c r="L9" s="31">
        <v>21293.934333333338</v>
      </c>
      <c r="M9" s="31">
        <v>103.75000000000001</v>
      </c>
      <c r="N9" s="31">
        <v>21426.284333333337</v>
      </c>
      <c r="O9" s="25"/>
    </row>
    <row r="10" spans="1:15" ht="30.75" customHeight="1" x14ac:dyDescent="0.25">
      <c r="A10" s="28" t="s">
        <v>190</v>
      </c>
      <c r="B10" s="30">
        <v>27</v>
      </c>
      <c r="C10" s="31">
        <v>0</v>
      </c>
      <c r="D10" s="31">
        <v>0</v>
      </c>
      <c r="E10" s="31">
        <v>27</v>
      </c>
      <c r="F10" s="31">
        <v>162</v>
      </c>
      <c r="G10" s="32" t="s">
        <v>199</v>
      </c>
      <c r="H10" s="33">
        <v>79</v>
      </c>
      <c r="I10" s="32">
        <v>47261</v>
      </c>
      <c r="J10" s="31">
        <v>250</v>
      </c>
      <c r="K10" s="31">
        <v>47597</v>
      </c>
      <c r="L10" s="31">
        <v>129898.20566666641</v>
      </c>
      <c r="M10" s="31">
        <v>344.24999999999983</v>
      </c>
      <c r="N10" s="31">
        <v>130516.12233333309</v>
      </c>
      <c r="O10" s="25"/>
    </row>
    <row r="11" spans="1:15" ht="33" customHeight="1" x14ac:dyDescent="0.25">
      <c r="A11" s="28" t="s">
        <v>190</v>
      </c>
      <c r="B11" s="30">
        <v>0</v>
      </c>
      <c r="C11" s="31">
        <v>1</v>
      </c>
      <c r="D11" s="31">
        <v>0</v>
      </c>
      <c r="E11" s="31">
        <v>1</v>
      </c>
      <c r="F11" s="31">
        <v>164</v>
      </c>
      <c r="G11" s="32" t="s">
        <v>199</v>
      </c>
      <c r="H11" s="33">
        <v>73.5</v>
      </c>
      <c r="I11" s="32">
        <v>0</v>
      </c>
      <c r="J11" s="31">
        <v>0</v>
      </c>
      <c r="K11" s="31">
        <v>1</v>
      </c>
      <c r="L11" s="31">
        <v>0</v>
      </c>
      <c r="M11" s="31">
        <v>0</v>
      </c>
      <c r="N11" s="31">
        <v>8.65</v>
      </c>
      <c r="O11" s="25"/>
    </row>
    <row r="12" spans="1:15" ht="32.25" customHeight="1" x14ac:dyDescent="0.25">
      <c r="A12" s="28" t="s">
        <v>190</v>
      </c>
      <c r="B12" s="30">
        <v>0</v>
      </c>
      <c r="C12" s="31">
        <v>8</v>
      </c>
      <c r="D12" s="31">
        <v>0</v>
      </c>
      <c r="E12" s="31">
        <v>8</v>
      </c>
      <c r="F12" s="31">
        <v>180</v>
      </c>
      <c r="G12" s="32" t="s">
        <v>199</v>
      </c>
      <c r="H12" s="33">
        <v>76.25</v>
      </c>
      <c r="I12" s="32">
        <v>863</v>
      </c>
      <c r="J12" s="31">
        <v>43</v>
      </c>
      <c r="K12" s="31">
        <v>917</v>
      </c>
      <c r="L12" s="31">
        <v>1533.7333333333333</v>
      </c>
      <c r="M12" s="31">
        <v>88.033333333333317</v>
      </c>
      <c r="N12" s="31">
        <v>1699.75</v>
      </c>
      <c r="O12" s="25"/>
    </row>
    <row r="13" spans="1:15" ht="33.75" customHeight="1" x14ac:dyDescent="0.25">
      <c r="A13" s="28" t="s">
        <v>190</v>
      </c>
      <c r="B13" s="30">
        <v>0</v>
      </c>
      <c r="C13" s="31">
        <v>7</v>
      </c>
      <c r="D13" s="31">
        <v>0</v>
      </c>
      <c r="E13" s="31">
        <v>7</v>
      </c>
      <c r="F13" s="31">
        <v>186</v>
      </c>
      <c r="G13" s="32" t="s">
        <v>199</v>
      </c>
      <c r="H13" s="33">
        <v>76.25</v>
      </c>
      <c r="I13" s="32">
        <v>5771</v>
      </c>
      <c r="J13" s="31">
        <v>49</v>
      </c>
      <c r="K13" s="31">
        <v>5829</v>
      </c>
      <c r="L13" s="31">
        <v>9755.8499999999949</v>
      </c>
      <c r="M13" s="31">
        <v>107.81666666666666</v>
      </c>
      <c r="N13" s="31">
        <v>9921.5666666666621</v>
      </c>
      <c r="O13" s="25"/>
    </row>
    <row r="14" spans="1:15" ht="27" customHeight="1" x14ac:dyDescent="0.25">
      <c r="A14" s="28" t="s">
        <v>191</v>
      </c>
      <c r="B14" s="30">
        <v>14</v>
      </c>
      <c r="C14" s="31">
        <v>0</v>
      </c>
      <c r="D14" s="31">
        <v>1</v>
      </c>
      <c r="E14" s="31">
        <v>13</v>
      </c>
      <c r="F14" s="31">
        <v>182</v>
      </c>
      <c r="G14" s="32" t="s">
        <v>199</v>
      </c>
      <c r="H14" s="33">
        <v>89</v>
      </c>
      <c r="I14" s="32">
        <v>26547</v>
      </c>
      <c r="J14" s="31">
        <v>4</v>
      </c>
      <c r="K14" s="31">
        <v>26585</v>
      </c>
      <c r="L14" s="31">
        <v>57784.485000000008</v>
      </c>
      <c r="M14" s="31">
        <v>6.6833333333333336</v>
      </c>
      <c r="N14" s="31">
        <v>57868.701666666675</v>
      </c>
      <c r="O14" s="25"/>
    </row>
    <row r="15" spans="1:15" ht="32.25" customHeight="1" x14ac:dyDescent="0.25">
      <c r="A15" s="28" t="s">
        <v>192</v>
      </c>
      <c r="B15" s="30">
        <v>2</v>
      </c>
      <c r="C15" s="31">
        <v>0</v>
      </c>
      <c r="D15" s="31">
        <v>0</v>
      </c>
      <c r="E15" s="31">
        <v>2</v>
      </c>
      <c r="F15" s="31">
        <v>192</v>
      </c>
      <c r="G15" s="32" t="s">
        <v>199</v>
      </c>
      <c r="H15" s="33">
        <v>93.5</v>
      </c>
      <c r="I15" s="32">
        <v>3089</v>
      </c>
      <c r="J15" s="31">
        <v>0</v>
      </c>
      <c r="K15" s="31">
        <v>3090</v>
      </c>
      <c r="L15" s="31">
        <v>6816.0329999999931</v>
      </c>
      <c r="M15" s="31">
        <v>0</v>
      </c>
      <c r="N15" s="31">
        <v>6818.7163333333265</v>
      </c>
      <c r="O15" s="25"/>
    </row>
    <row r="16" spans="1:15" ht="31.5" customHeight="1" x14ac:dyDescent="0.25">
      <c r="A16" s="28" t="s">
        <v>193</v>
      </c>
      <c r="B16" s="30">
        <v>0</v>
      </c>
      <c r="C16" s="31">
        <v>2</v>
      </c>
      <c r="D16" s="31">
        <v>0</v>
      </c>
      <c r="E16" s="31">
        <v>2</v>
      </c>
      <c r="F16" s="31">
        <v>232</v>
      </c>
      <c r="G16" s="32" t="s">
        <v>199</v>
      </c>
      <c r="H16" s="33">
        <v>93.5</v>
      </c>
      <c r="I16" s="32">
        <v>2124</v>
      </c>
      <c r="J16" s="31">
        <v>0</v>
      </c>
      <c r="K16" s="31">
        <v>2126</v>
      </c>
      <c r="L16" s="31">
        <v>4476.4833333333354</v>
      </c>
      <c r="M16" s="31">
        <v>0</v>
      </c>
      <c r="N16" s="31">
        <v>4493.3666666666686</v>
      </c>
      <c r="O16" s="25"/>
    </row>
    <row r="17" spans="1:17" ht="33.75" customHeight="1" x14ac:dyDescent="0.25">
      <c r="A17" s="28" t="s">
        <v>194</v>
      </c>
      <c r="B17" s="30">
        <v>0</v>
      </c>
      <c r="C17" s="31">
        <v>3</v>
      </c>
      <c r="D17" s="31">
        <v>0</v>
      </c>
      <c r="E17" s="31">
        <v>3</v>
      </c>
      <c r="F17" s="31">
        <v>316</v>
      </c>
      <c r="G17" s="32" t="s">
        <v>199</v>
      </c>
      <c r="H17" s="33">
        <v>280</v>
      </c>
      <c r="I17" s="32">
        <v>566</v>
      </c>
      <c r="J17" s="31">
        <v>0</v>
      </c>
      <c r="K17" s="31">
        <v>598</v>
      </c>
      <c r="L17" s="31">
        <v>876.99999999999977</v>
      </c>
      <c r="M17" s="31">
        <v>0</v>
      </c>
      <c r="N17" s="31">
        <v>941.8833333333331</v>
      </c>
      <c r="O17" s="25"/>
    </row>
    <row r="18" spans="1:17" ht="21.75" customHeight="1" x14ac:dyDescent="0.25">
      <c r="A18" s="28" t="s">
        <v>195</v>
      </c>
      <c r="B18" s="30">
        <v>3</v>
      </c>
      <c r="C18" s="31">
        <v>0</v>
      </c>
      <c r="D18" s="31">
        <v>0</v>
      </c>
      <c r="E18" s="31">
        <v>3</v>
      </c>
      <c r="F18" s="31">
        <v>288</v>
      </c>
      <c r="G18" s="32" t="s">
        <v>199</v>
      </c>
      <c r="H18" s="33">
        <v>347.45100000000002</v>
      </c>
      <c r="I18" s="32">
        <v>977</v>
      </c>
      <c r="J18" s="31">
        <v>0</v>
      </c>
      <c r="K18" s="31">
        <v>999</v>
      </c>
      <c r="L18" s="31">
        <v>13327.268666666663</v>
      </c>
      <c r="M18" s="31">
        <v>0</v>
      </c>
      <c r="N18" s="31">
        <v>13404.351999999997</v>
      </c>
      <c r="O18" s="25"/>
    </row>
    <row r="19" spans="1:17" ht="21.75" customHeight="1" x14ac:dyDescent="0.25">
      <c r="A19" s="28" t="s">
        <v>195</v>
      </c>
      <c r="B19" s="30">
        <v>3</v>
      </c>
      <c r="C19" s="31">
        <v>2</v>
      </c>
      <c r="D19" s="31">
        <v>0</v>
      </c>
      <c r="E19" s="31">
        <v>5</v>
      </c>
      <c r="F19" s="31">
        <v>238</v>
      </c>
      <c r="G19" s="32" t="s">
        <v>199</v>
      </c>
      <c r="H19" s="33">
        <v>347.45100000000002</v>
      </c>
      <c r="I19" s="32">
        <v>1735</v>
      </c>
      <c r="J19" s="31">
        <v>0</v>
      </c>
      <c r="K19" s="31">
        <v>1748</v>
      </c>
      <c r="L19" s="31">
        <v>23738.584000000003</v>
      </c>
      <c r="M19" s="31">
        <v>0</v>
      </c>
      <c r="N19" s="31">
        <v>23799.984000000004</v>
      </c>
      <c r="O19" s="25"/>
    </row>
    <row r="20" spans="1:17" ht="21.75" customHeight="1" x14ac:dyDescent="0.25">
      <c r="A20" s="28" t="s">
        <v>196</v>
      </c>
      <c r="B20" s="30">
        <v>12</v>
      </c>
      <c r="C20" s="31">
        <v>0</v>
      </c>
      <c r="D20" s="31">
        <v>0</v>
      </c>
      <c r="E20" s="31">
        <v>12</v>
      </c>
      <c r="F20" s="31">
        <v>342</v>
      </c>
      <c r="G20" s="32" t="s">
        <v>199</v>
      </c>
      <c r="H20" s="33">
        <v>351.53399999999999</v>
      </c>
      <c r="I20" s="32">
        <v>5211</v>
      </c>
      <c r="J20" s="31">
        <v>2</v>
      </c>
      <c r="K20" s="31">
        <v>5283</v>
      </c>
      <c r="L20" s="31">
        <v>52566.399666666526</v>
      </c>
      <c r="M20" s="31">
        <v>20.033333333333331</v>
      </c>
      <c r="N20" s="31">
        <v>52777.699666666529</v>
      </c>
      <c r="O20" s="25"/>
    </row>
    <row r="21" spans="1:17" ht="18.75" customHeight="1" x14ac:dyDescent="0.25">
      <c r="A21" s="28" t="s">
        <v>196</v>
      </c>
      <c r="B21" s="30">
        <v>1</v>
      </c>
      <c r="C21" s="31">
        <v>0</v>
      </c>
      <c r="D21" s="31">
        <v>0</v>
      </c>
      <c r="E21" s="31">
        <v>1</v>
      </c>
      <c r="F21" s="31">
        <v>344</v>
      </c>
      <c r="G21" s="32" t="s">
        <v>199</v>
      </c>
      <c r="H21" s="33">
        <v>351.53399999999999</v>
      </c>
      <c r="I21" s="32">
        <v>464</v>
      </c>
      <c r="J21" s="31">
        <v>0</v>
      </c>
      <c r="K21" s="31">
        <v>470</v>
      </c>
      <c r="L21" s="31">
        <v>4796.3490000000029</v>
      </c>
      <c r="M21" s="31">
        <v>0</v>
      </c>
      <c r="N21" s="31">
        <v>4821.9156666666695</v>
      </c>
      <c r="O21" s="25"/>
    </row>
    <row r="22" spans="1:17" ht="18" customHeight="1" x14ac:dyDescent="0.25">
      <c r="A22" s="28" t="s">
        <v>196</v>
      </c>
      <c r="B22" s="30">
        <v>0</v>
      </c>
      <c r="C22" s="31">
        <v>6</v>
      </c>
      <c r="D22" s="31">
        <v>0</v>
      </c>
      <c r="E22" s="31">
        <v>6</v>
      </c>
      <c r="F22" s="31">
        <v>328</v>
      </c>
      <c r="G22" s="32" t="s">
        <v>199</v>
      </c>
      <c r="H22" s="33">
        <v>351.53399999999999</v>
      </c>
      <c r="I22" s="32">
        <v>724</v>
      </c>
      <c r="J22" s="31">
        <v>1</v>
      </c>
      <c r="K22" s="31">
        <v>735</v>
      </c>
      <c r="L22" s="31">
        <v>6915.1666666666661</v>
      </c>
      <c r="M22" s="31">
        <v>15.616666666666667</v>
      </c>
      <c r="N22" s="31">
        <v>6966.9666666666662</v>
      </c>
      <c r="O22" s="25"/>
      <c r="Q22" s="23" t="s">
        <v>0</v>
      </c>
    </row>
    <row r="23" spans="1:17" ht="20.25" customHeight="1" x14ac:dyDescent="0.25">
      <c r="A23" s="28" t="s">
        <v>197</v>
      </c>
      <c r="B23" s="30">
        <v>23</v>
      </c>
      <c r="C23" s="31">
        <v>0</v>
      </c>
      <c r="D23" s="31">
        <v>0</v>
      </c>
      <c r="E23" s="31">
        <v>23</v>
      </c>
      <c r="F23" s="31">
        <v>256</v>
      </c>
      <c r="G23" s="32" t="s">
        <v>199</v>
      </c>
      <c r="H23" s="33">
        <v>227.93</v>
      </c>
      <c r="I23" s="32">
        <v>13945</v>
      </c>
      <c r="J23" s="31">
        <v>0</v>
      </c>
      <c r="K23" s="31">
        <v>14101</v>
      </c>
      <c r="L23" s="31">
        <v>100903.77766666668</v>
      </c>
      <c r="M23" s="31">
        <v>0</v>
      </c>
      <c r="N23" s="31">
        <v>101499.92766666667</v>
      </c>
      <c r="O23" s="25"/>
    </row>
    <row r="24" spans="1:17" ht="21" customHeight="1" x14ac:dyDescent="0.25">
      <c r="A24" s="28" t="s">
        <v>198</v>
      </c>
      <c r="B24" s="30">
        <v>4</v>
      </c>
      <c r="C24" s="31">
        <v>0</v>
      </c>
      <c r="D24" s="31">
        <v>0</v>
      </c>
      <c r="E24" s="31">
        <v>4</v>
      </c>
      <c r="F24" s="34">
        <v>259</v>
      </c>
      <c r="G24" s="32" t="s">
        <v>199</v>
      </c>
      <c r="H24" s="33">
        <v>227.93</v>
      </c>
      <c r="I24" s="32">
        <v>1655</v>
      </c>
      <c r="J24" s="31">
        <v>0</v>
      </c>
      <c r="K24" s="31">
        <v>1665</v>
      </c>
      <c r="L24" s="31">
        <v>16073.831666666665</v>
      </c>
      <c r="M24" s="31">
        <v>0</v>
      </c>
      <c r="N24" s="31">
        <v>16106.248333333331</v>
      </c>
      <c r="O24" s="25"/>
    </row>
    <row r="25" spans="1:17" ht="22.5" customHeight="1" x14ac:dyDescent="0.25">
      <c r="A25" s="29" t="s">
        <v>52</v>
      </c>
      <c r="B25" s="35">
        <f>SUM(B7:B24)</f>
        <v>118</v>
      </c>
      <c r="C25" s="35">
        <f>SUM(C7:C24)</f>
        <v>29</v>
      </c>
      <c r="D25" s="35">
        <f>SUM(D7:D24)</f>
        <v>13</v>
      </c>
      <c r="E25" s="35">
        <f>SUM(E7:E24)</f>
        <v>134</v>
      </c>
      <c r="F25" s="35"/>
      <c r="G25" s="35"/>
      <c r="H25" s="35"/>
      <c r="I25" s="35">
        <f t="shared" ref="I25:N25" si="0">SUM(I7:I24)</f>
        <v>150865</v>
      </c>
      <c r="J25" s="35">
        <f t="shared" si="0"/>
        <v>512</v>
      </c>
      <c r="K25" s="35">
        <f t="shared" si="0"/>
        <v>151906</v>
      </c>
      <c r="L25" s="35">
        <f t="shared" si="0"/>
        <v>505071.49499999965</v>
      </c>
      <c r="M25" s="35">
        <f t="shared" si="0"/>
        <v>843.89999999999964</v>
      </c>
      <c r="N25" s="35">
        <f t="shared" si="0"/>
        <v>507688.12833333312</v>
      </c>
      <c r="O25" s="25"/>
    </row>
    <row r="26" spans="1:17" ht="35.1" customHeight="1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37"/>
      <c r="L26" s="26"/>
      <c r="M26" s="37"/>
      <c r="N26" s="37"/>
    </row>
    <row r="27" spans="1:17" ht="35.1" customHeight="1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37"/>
      <c r="L27" s="26"/>
      <c r="M27" s="26"/>
      <c r="N27" s="26"/>
    </row>
    <row r="28" spans="1:17" ht="35.1" customHeight="1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26"/>
      <c r="N28" s="26"/>
    </row>
    <row r="29" spans="1:17" ht="35.1" customHeight="1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26"/>
      <c r="N29" s="26"/>
    </row>
    <row r="30" spans="1:17" ht="35.1" customHeight="1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</row>
    <row r="31" spans="1:17" ht="35.1" customHeight="1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</row>
    <row r="32" spans="1:17" ht="35.1" customHeight="1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</row>
    <row r="33" spans="1:14" ht="35.1" customHeight="1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26"/>
      <c r="N33" s="26"/>
    </row>
    <row r="34" spans="1:14" ht="35.1" customHeight="1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</row>
    <row r="35" spans="1:14" ht="35.1" customHeight="1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</row>
    <row r="36" spans="1:14" ht="35.1" customHeight="1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</row>
    <row r="37" spans="1:14" ht="35.1" customHeight="1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</row>
    <row r="38" spans="1:14" ht="35.1" customHeight="1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ht="35.1" customHeight="1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26"/>
      <c r="N39" s="26"/>
    </row>
    <row r="40" spans="1:14" ht="35.1" customHeight="1" x14ac:dyDescent="0.25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</row>
    <row r="41" spans="1:14" ht="35.1" customHeight="1" x14ac:dyDescent="0.25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  <c r="L41" s="26"/>
      <c r="M41" s="26"/>
      <c r="N41" s="26"/>
    </row>
  </sheetData>
  <mergeCells count="16">
    <mergeCell ref="B5:B6"/>
    <mergeCell ref="L5:N5"/>
    <mergeCell ref="A4:A6"/>
    <mergeCell ref="D5:D6"/>
    <mergeCell ref="I5:K5"/>
    <mergeCell ref="E5:E6"/>
    <mergeCell ref="G5:G6"/>
    <mergeCell ref="F5:F6"/>
    <mergeCell ref="H5:H6"/>
    <mergeCell ref="C5:C6"/>
    <mergeCell ref="A1:N1"/>
    <mergeCell ref="A2:N2"/>
    <mergeCell ref="A3:N3"/>
    <mergeCell ref="B4:E4"/>
    <mergeCell ref="F4:H4"/>
    <mergeCell ref="I4:N4"/>
  </mergeCells>
  <printOptions gridLines="1"/>
  <pageMargins left="0.43" right="0.5" top="0.48" bottom="0.5" header="0.5" footer="0.75"/>
  <pageSetup scale="75" firstPageNumber="132" fitToWidth="0" fitToHeight="0" orientation="landscape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C</vt:lpstr>
      <vt:lpstr>'C'!Print_Area</vt:lpstr>
      <vt:lpstr>'C'!Print_Area_MI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2024-03-08T09:44:50Z</cp:lastPrinted>
  <dcterms:created xsi:type="dcterms:W3CDTF">2002-12-26T09:18:20Z</dcterms:created>
  <dcterms:modified xsi:type="dcterms:W3CDTF">2025-04-02T09:37:33Z</dcterms:modified>
</cp:coreProperties>
</file>