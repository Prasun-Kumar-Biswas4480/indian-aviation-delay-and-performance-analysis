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INDIGO!$A$6:$Q$20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5" l="1"/>
  <c r="H14" i="5"/>
  <c r="H17" i="5" l="1"/>
  <c r="B17" i="5" l="1"/>
  <c r="Q17" i="5"/>
  <c r="C18" i="5" l="1"/>
  <c r="D18" i="5"/>
  <c r="E18" i="5"/>
  <c r="F18" i="5"/>
  <c r="G18" i="5"/>
  <c r="H18" i="5"/>
  <c r="I18" i="5"/>
  <c r="K18" i="5"/>
  <c r="L18" i="5"/>
  <c r="M18" i="5"/>
  <c r="O18" i="5"/>
  <c r="P18" i="5"/>
  <c r="Q18" i="5"/>
  <c r="B18" i="5"/>
  <c r="P17" i="5" l="1"/>
  <c r="M17" i="5"/>
  <c r="L17" i="5"/>
  <c r="I17" i="5"/>
  <c r="G17" i="5"/>
  <c r="F17" i="5"/>
  <c r="E17" i="5"/>
  <c r="D17" i="5"/>
  <c r="C17" i="5"/>
  <c r="K17" i="5" l="1"/>
  <c r="O17" i="5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<sst xmlns="http://schemas.openxmlformats.org/spreadsheetml/2006/main" count="40" uniqueCount="38">
  <si>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</si>
  <si>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</si>
  <si>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</si>
  <si>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</si>
  <si>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</si>
  <si>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</si>
  <si>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</si>
  <si>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</si>
  <si>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</si>
  <si>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</si>
  <si>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</si>
  <si>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</si>
  <si>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</si>
  <si>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</si>
  <si>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</si>
  <si>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</si>
  <si>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</si>
  <si>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</si>
  <si>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</si>
  <si>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</si>
  <si>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</si>
  <si>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</si>
  <si>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</si>
  <si>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</si>
  <si>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</si>
  <si>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तालिका - 1.05 (इंडिगो) </t>
  </si>
  <si>
    <t>TABLE - 1.05 (INDIGO)</t>
  </si>
  <si>
    <t>SOURCE: ICAO ATR FORM 'A' FURNISHED BY INDIGO</t>
  </si>
  <si>
    <t>2019-20</t>
  </si>
  <si>
    <t xml:space="preserve">YEAR ON YEAR GROWTH AND CAGR FOR LAST TEN YEARS OF INDIGO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</si>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</sst>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mmmm/yy;@"/>
    <numFmt numFmtId="166" formatCode="_(* #,##0_);_(* \(#,##0\);_(* &quot;-&quot;??_);_(@_)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5" fillId="2" borderId="1" xfId="1" applyNumberFormat="1" applyFont="1" applyFill="1" applyBorder="1" applyAlignment="1" applyProtection="1">
      <alignment horizontal="center" vertical="center" wrapText="1"/>
    </xf>
    <xf numFmtId="164" fontId="5" fillId="5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9" fontId="5" fillId="5" borderId="1" xfId="1" applyFont="1" applyFill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center" vertical="center"/>
    </xf>
    <xf numFmtId="166" fontId="3" fillId="4" borderId="1" xfId="3" applyNumberFormat="1" applyBorder="1" applyAlignment="1">
      <alignment horizontal="right" vertical="center"/>
    </xf>
    <xf numFmtId="167" fontId="3" fillId="4" borderId="1" xfId="3" applyNumberFormat="1" applyBorder="1" applyAlignment="1">
      <alignment horizontal="right" vertical="center"/>
    </xf>
    <xf numFmtId="165" fontId="7" fillId="0" borderId="1" xfId="4" applyNumberFormat="1" applyFont="1" applyFill="1" applyBorder="1" applyAlignment="1">
      <alignment horizontal="center" vertical="center"/>
    </xf>
    <xf numFmtId="166" fontId="7" fillId="0" borderId="1" xfId="4" applyNumberFormat="1" applyFont="1" applyFill="1" applyBorder="1" applyAlignment="1">
      <alignment horizontal="right" vertical="center"/>
    </xf>
    <xf numFmtId="166" fontId="7" fillId="0" borderId="2" xfId="4" applyNumberFormat="1" applyFont="1" applyFill="1" applyBorder="1" applyAlignment="1">
      <alignment horizontal="right" vertical="center"/>
    </xf>
    <xf numFmtId="167" fontId="7" fillId="0" borderId="1" xfId="4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5" fontId="0" fillId="4" borderId="1" xfId="3" applyNumberFormat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 wrapText="1"/>
    </xf>
    <xf numFmtId="0" fontId="6" fillId="4" borderId="1" xfId="3" quotePrefix="1" applyFont="1" applyBorder="1" applyAlignment="1" applyProtection="1">
      <alignment horizontal="center" vertical="center" wrapText="1"/>
    </xf>
    <xf numFmtId="0" fontId="6" fillId="4" borderId="1" xfId="3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40% - Accent6" xfId="3" builtinId="51"/>
    <cellStyle name="Accent6" xfId="2" builtinId="49"/>
    <cellStyle name="Comma" xfId="4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A4" zoomScaleNormal="85" zoomScaleSheetLayoutView="100" workbookViewId="0">
      <selection activeCell="N11" sqref="N11"/>
    </sheetView>
  </sheetViews>
  <sheetFormatPr defaultRowHeight="15" x14ac:dyDescent="0.25"/>
  <cols>
    <col min="1" max="1" width="13.28515625" customWidth="1"/>
    <col min="2" max="2" width="8" customWidth="1"/>
    <col min="5" max="5" width="12.7109375" customWidth="1"/>
    <col min="6" max="6" width="10.5703125" bestFit="1" customWidth="1"/>
    <col min="8" max="8" width="6.85546875" customWidth="1"/>
    <col min="9" max="9" width="10" customWidth="1"/>
    <col min="10" max="10" width="8.140625" customWidth="1"/>
    <col min="11" max="11" width="10.42578125" customWidth="1"/>
    <col min="14" max="14" width="6.28515625" customWidth="1"/>
    <col min="17" max="17" width="9.42578125" customWidth="1"/>
  </cols>
  <sheetData>
    <row r="1" spans="1:17" x14ac:dyDescent="0.25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21" t="s">
        <v>3</v>
      </c>
      <c r="H4" s="2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21" t="s">
        <v>7</v>
      </c>
      <c r="Q4" s="21" t="s">
        <v>8</v>
      </c>
    </row>
    <row r="5" spans="1:17" ht="117.75" customHeight="1" x14ac:dyDescent="0.25">
      <c r="A5" s="19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22"/>
      <c r="H5" s="22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22"/>
      <c r="Q5" s="22"/>
    </row>
    <row r="6" spans="1:17" s="1" customFormat="1" ht="17.100000000000001" customHeight="1" x14ac:dyDescent="0.25">
      <c r="A6" s="6" t="s">
        <v>19</v>
      </c>
      <c r="B6" s="7">
        <v>10146</v>
      </c>
      <c r="C6" s="7">
        <v>35700.050000000003</v>
      </c>
      <c r="D6" s="7">
        <v>23373</v>
      </c>
      <c r="E6" s="7">
        <v>1490507</v>
      </c>
      <c r="F6" s="7">
        <v>3434.7910000000002</v>
      </c>
      <c r="G6" s="7">
        <v>4207.21</v>
      </c>
      <c r="H6" s="8">
        <v>81.640588418453092</v>
      </c>
      <c r="I6" s="8">
        <v>11011</v>
      </c>
      <c r="J6" s="8"/>
      <c r="K6" s="8">
        <v>11011</v>
      </c>
      <c r="L6" s="8">
        <v>307.92399999999998</v>
      </c>
      <c r="M6" s="8">
        <v>25.861000000000001</v>
      </c>
      <c r="N6" s="8"/>
      <c r="O6" s="8">
        <v>333.78500000000003</v>
      </c>
      <c r="P6" s="8">
        <v>425.39499999999998</v>
      </c>
      <c r="Q6" s="8">
        <v>78.464721023989483</v>
      </c>
    </row>
    <row r="7" spans="1:17" s="1" customFormat="1" ht="17.100000000000001" customHeight="1" x14ac:dyDescent="0.25">
      <c r="A7" s="9" t="s">
        <v>20</v>
      </c>
      <c r="B7" s="10">
        <v>9771</v>
      </c>
      <c r="C7" s="10">
        <v>29401.99</v>
      </c>
      <c r="D7" s="11">
        <v>21723</v>
      </c>
      <c r="E7" s="10">
        <v>1453290</v>
      </c>
      <c r="F7" s="10">
        <v>3220.2930000000001</v>
      </c>
      <c r="G7" s="10">
        <v>3910.22</v>
      </c>
      <c r="H7" s="12">
        <v>82.355800952376086</v>
      </c>
      <c r="I7" s="12">
        <v>11456</v>
      </c>
      <c r="J7" s="12"/>
      <c r="K7" s="12">
        <v>11456</v>
      </c>
      <c r="L7" s="12">
        <v>288.83199999999999</v>
      </c>
      <c r="M7" s="12">
        <v>26.439</v>
      </c>
      <c r="N7" s="12"/>
      <c r="O7" s="12">
        <v>315.27100000000002</v>
      </c>
      <c r="P7" s="12">
        <v>395.36599999999999</v>
      </c>
      <c r="Q7" s="12">
        <v>79.741555925395716</v>
      </c>
    </row>
    <row r="8" spans="1:17" s="1" customFormat="1" ht="17.100000000000001" customHeight="1" x14ac:dyDescent="0.25">
      <c r="A8" s="6" t="s">
        <v>21</v>
      </c>
      <c r="B8" s="7">
        <v>11044</v>
      </c>
      <c r="C8" s="7">
        <v>37932.97</v>
      </c>
      <c r="D8" s="7">
        <v>24516</v>
      </c>
      <c r="E8" s="7">
        <v>1650235</v>
      </c>
      <c r="F8" s="7">
        <v>3652.355</v>
      </c>
      <c r="G8" s="7">
        <v>4411.5879999999997</v>
      </c>
      <c r="H8" s="8">
        <v>82.790029349975569</v>
      </c>
      <c r="I8" s="8">
        <v>11238.2209</v>
      </c>
      <c r="J8" s="8"/>
      <c r="K8" s="8">
        <v>11238.2209</v>
      </c>
      <c r="L8" s="8">
        <v>328.71</v>
      </c>
      <c r="M8" s="8">
        <v>26.623999999999999</v>
      </c>
      <c r="N8" s="8"/>
      <c r="O8" s="8">
        <v>355.334</v>
      </c>
      <c r="P8" s="8">
        <v>500.14800000000002</v>
      </c>
      <c r="Q8" s="8">
        <v>71.045770451946225</v>
      </c>
    </row>
    <row r="9" spans="1:17" s="1" customFormat="1" ht="17.100000000000001" customHeight="1" x14ac:dyDescent="0.25">
      <c r="A9" s="9" t="s">
        <v>22</v>
      </c>
      <c r="B9" s="10">
        <v>13245</v>
      </c>
      <c r="C9" s="10">
        <v>46126.152699999991</v>
      </c>
      <c r="D9" s="11">
        <v>29834.574000000001</v>
      </c>
      <c r="E9" s="10">
        <v>1931864</v>
      </c>
      <c r="F9" s="10">
        <v>4351.4939999999997</v>
      </c>
      <c r="G9" s="10">
        <v>5370.1310000000003</v>
      </c>
      <c r="H9" s="12">
        <v>81.031431076821022</v>
      </c>
      <c r="I9" s="12">
        <v>13769</v>
      </c>
      <c r="J9" s="12"/>
      <c r="K9" s="12">
        <v>13769</v>
      </c>
      <c r="L9" s="12">
        <v>391.63463999999999</v>
      </c>
      <c r="M9" s="12">
        <v>33.360012000000005</v>
      </c>
      <c r="N9" s="12"/>
      <c r="O9" s="12">
        <v>424.99465199999997</v>
      </c>
      <c r="P9" s="12">
        <v>608.70627600000012</v>
      </c>
      <c r="Q9" s="12">
        <v>69.819331384715326</v>
      </c>
    </row>
    <row r="10" spans="1:17" s="1" customFormat="1" ht="17.100000000000001" customHeight="1" x14ac:dyDescent="0.25">
      <c r="A10" s="6" t="s">
        <v>23</v>
      </c>
      <c r="B10" s="7">
        <v>21407</v>
      </c>
      <c r="C10" s="7">
        <v>77412.275899999993</v>
      </c>
      <c r="D10" s="7">
        <v>51180.947</v>
      </c>
      <c r="E10" s="7">
        <v>3185861</v>
      </c>
      <c r="F10" s="7">
        <v>7624.1750000000002</v>
      </c>
      <c r="G10" s="7">
        <v>9211.9979999999996</v>
      </c>
      <c r="H10" s="8">
        <v>82.763532949095307</v>
      </c>
      <c r="I10" s="8">
        <v>22179.82</v>
      </c>
      <c r="J10" s="8"/>
      <c r="K10" s="8">
        <v>22179.82</v>
      </c>
      <c r="L10" s="8">
        <v>686.17681000000005</v>
      </c>
      <c r="M10" s="8">
        <v>55.226930000000003</v>
      </c>
      <c r="N10" s="8"/>
      <c r="O10" s="8">
        <v>741.40373999999997</v>
      </c>
      <c r="P10" s="8">
        <v>1021.20615</v>
      </c>
      <c r="Q10" s="8">
        <v>72.600790741418862</v>
      </c>
    </row>
    <row r="11" spans="1:17" s="1" customFormat="1" ht="17.100000000000001" customHeight="1" x14ac:dyDescent="0.25">
      <c r="A11" s="9" t="s">
        <v>24</v>
      </c>
      <c r="B11" s="10">
        <v>31485</v>
      </c>
      <c r="C11" s="10">
        <v>113001.13222999999</v>
      </c>
      <c r="D11" s="11">
        <v>74224.200000000012</v>
      </c>
      <c r="E11" s="10">
        <v>4704773</v>
      </c>
      <c r="F11" s="10">
        <v>11122.737639000001</v>
      </c>
      <c r="G11" s="10">
        <v>13384.865487999999</v>
      </c>
      <c r="H11" s="12">
        <v>83.099360609726887</v>
      </c>
      <c r="I11" s="12">
        <v>24928.402999999998</v>
      </c>
      <c r="J11" s="12"/>
      <c r="K11" s="12">
        <v>24928.402999999998</v>
      </c>
      <c r="L11" s="12">
        <v>1000.637525</v>
      </c>
      <c r="M11" s="12">
        <v>62.215654300000004</v>
      </c>
      <c r="N11" s="12"/>
      <c r="O11" s="12">
        <v>1062.8531793000002</v>
      </c>
      <c r="P11" s="12">
        <v>1507.5712666999998</v>
      </c>
      <c r="Q11" s="12">
        <v>70.501023916868235</v>
      </c>
    </row>
    <row r="12" spans="1:17" s="1" customFormat="1" ht="17.100000000000001" customHeight="1" x14ac:dyDescent="0.25">
      <c r="A12" s="6" t="s">
        <v>28</v>
      </c>
      <c r="B12" s="7">
        <v>46985</v>
      </c>
      <c r="C12" s="7">
        <v>178727.13333333333</v>
      </c>
      <c r="D12" s="7">
        <v>116278.166</v>
      </c>
      <c r="E12" s="7">
        <v>6967074</v>
      </c>
      <c r="F12" s="7">
        <v>17183.677</v>
      </c>
      <c r="G12" s="7">
        <v>21188.975770000001</v>
      </c>
      <c r="H12" s="8">
        <v>81.09725163936038</v>
      </c>
      <c r="I12" s="8">
        <v>35676.603999999992</v>
      </c>
      <c r="J12" s="8"/>
      <c r="K12" s="8">
        <v>35676.603999999992</v>
      </c>
      <c r="L12" s="8">
        <v>1546.1133310800003</v>
      </c>
      <c r="M12" s="8">
        <v>88.266259199000004</v>
      </c>
      <c r="N12" s="8"/>
      <c r="O12" s="8">
        <v>1634.379590279</v>
      </c>
      <c r="P12" s="8">
        <v>2410.2792157920003</v>
      </c>
      <c r="Q12" s="8">
        <v>67.80872438224776</v>
      </c>
    </row>
    <row r="13" spans="1:17" s="1" customFormat="1" ht="21.75" customHeight="1" x14ac:dyDescent="0.25">
      <c r="A13" s="9" t="s">
        <v>30</v>
      </c>
      <c r="B13" s="10">
        <v>10368</v>
      </c>
      <c r="C13" s="10">
        <v>37690.319929999991</v>
      </c>
      <c r="D13" s="11">
        <v>25620.383999999998</v>
      </c>
      <c r="E13" s="10">
        <v>1298199</v>
      </c>
      <c r="F13" s="10">
        <v>3248.732</v>
      </c>
      <c r="G13" s="10">
        <v>4292.8149999999996</v>
      </c>
      <c r="H13" s="12">
        <v>75.678360236814299</v>
      </c>
      <c r="I13" s="12">
        <v>11857.332569999999</v>
      </c>
      <c r="J13" s="12">
        <v>840.12950999999975</v>
      </c>
      <c r="K13" s="12">
        <v>12697.462079999998</v>
      </c>
      <c r="L13" s="12">
        <v>290.03626300000002</v>
      </c>
      <c r="M13" s="12">
        <v>17.67260633994</v>
      </c>
      <c r="N13" s="12">
        <v>1.7377185377</v>
      </c>
      <c r="O13" s="12">
        <v>309.44658787764001</v>
      </c>
      <c r="P13" s="12">
        <v>491.63468543900001</v>
      </c>
      <c r="Q13" s="12">
        <v>62.942383245666001</v>
      </c>
    </row>
    <row r="14" spans="1:17" x14ac:dyDescent="0.25">
      <c r="A14" s="15" t="s">
        <v>37</v>
      </c>
      <c r="B14" s="7">
        <v>25647</v>
      </c>
      <c r="C14" s="7">
        <v>91376.891388888907</v>
      </c>
      <c r="D14" s="7">
        <v>61588.621000000006</v>
      </c>
      <c r="E14" s="7">
        <v>3152511</v>
      </c>
      <c r="F14" s="7">
        <v>7777.4479999999994</v>
      </c>
      <c r="G14" s="7">
        <v>10569.547</v>
      </c>
      <c r="H14" s="8">
        <f>F14/G14*100</f>
        <v>73.583550931747581</v>
      </c>
      <c r="I14" s="8">
        <v>46898.390020000006</v>
      </c>
      <c r="J14" s="8"/>
      <c r="K14" s="8">
        <v>46898.390020000006</v>
      </c>
      <c r="L14" s="8">
        <v>700.61195813700022</v>
      </c>
      <c r="M14" s="8">
        <v>90.060265392569988</v>
      </c>
      <c r="N14" s="8"/>
      <c r="O14" s="8">
        <v>790.67222352957026</v>
      </c>
      <c r="P14" s="8">
        <v>1401.7137698410004</v>
      </c>
      <c r="Q14" s="8">
        <f>O14/P14*100</f>
        <v>56.407537725712572</v>
      </c>
    </row>
    <row r="15" spans="1:17" x14ac:dyDescent="0.25">
      <c r="A15" s="9" t="s">
        <v>32</v>
      </c>
      <c r="B15" s="10">
        <v>54192</v>
      </c>
      <c r="C15" s="10">
        <v>203630.36</v>
      </c>
      <c r="D15" s="11">
        <v>135127.98199999996</v>
      </c>
      <c r="E15" s="10">
        <v>8556558</v>
      </c>
      <c r="F15" s="10">
        <v>21331.96</v>
      </c>
      <c r="G15" s="10">
        <v>26166.550999999996</v>
      </c>
      <c r="H15" s="12">
        <v>81.523774378977194</v>
      </c>
      <c r="I15" s="12">
        <v>35949.387759999998</v>
      </c>
      <c r="J15" s="12"/>
      <c r="K15" s="12">
        <v>35949.387759999998</v>
      </c>
      <c r="L15" s="12">
        <v>1912.1714518599993</v>
      </c>
      <c r="M15" s="12">
        <v>88.475578760000005</v>
      </c>
      <c r="N15" s="12"/>
      <c r="O15" s="12">
        <v>2000.6470306199997</v>
      </c>
      <c r="P15" s="12">
        <v>2938.9781770550003</v>
      </c>
      <c r="Q15" s="12">
        <v>68.072878058072064</v>
      </c>
    </row>
    <row r="16" spans="1:17" x14ac:dyDescent="0.25">
      <c r="A16" s="6" t="s">
        <v>33</v>
      </c>
      <c r="B16" s="7">
        <v>70359</v>
      </c>
      <c r="C16" s="7">
        <v>338424.66666666663</v>
      </c>
      <c r="D16" s="7">
        <v>178318.74099999998</v>
      </c>
      <c r="E16" s="7">
        <v>11774999</v>
      </c>
      <c r="F16" s="7">
        <v>30396.514999999999</v>
      </c>
      <c r="G16" s="7">
        <v>36440.552000000003</v>
      </c>
      <c r="H16" s="8">
        <v>83.413980666374087</v>
      </c>
      <c r="I16" s="8">
        <v>41079.386999999988</v>
      </c>
      <c r="J16" s="8">
        <v>104.95399999999999</v>
      </c>
      <c r="K16" s="8">
        <v>41184.341</v>
      </c>
      <c r="L16" s="8">
        <v>2731.9180163699998</v>
      </c>
      <c r="M16" s="8">
        <v>114.61617699999999</v>
      </c>
      <c r="N16" s="8">
        <v>0.26278499999999999</v>
      </c>
      <c r="O16" s="8">
        <v>2846.79697837</v>
      </c>
      <c r="P16" s="8">
        <v>3756.6200571100003</v>
      </c>
      <c r="Q16" s="8">
        <v>75.780806551942476</v>
      </c>
    </row>
    <row r="17" spans="1:17" x14ac:dyDescent="0.25">
      <c r="A17" s="14" t="s">
        <v>34</v>
      </c>
      <c r="B17" s="5">
        <f t="shared" ref="B17:I17" si="0">(B16-B15)/B15</f>
        <v>0.29832816651904343</v>
      </c>
      <c r="C17" s="5">
        <f t="shared" si="0"/>
        <v>0.6619558432576883</v>
      </c>
      <c r="D17" s="5">
        <f t="shared" si="0"/>
        <v>0.3196285355611988</v>
      </c>
      <c r="E17" s="5">
        <f t="shared" si="0"/>
        <v>0.37613734401145882</v>
      </c>
      <c r="F17" s="5">
        <f t="shared" si="0"/>
        <v>0.42492837038884379</v>
      </c>
      <c r="G17" s="5">
        <f t="shared" si="0"/>
        <v>0.39263871650490006</v>
      </c>
      <c r="H17" s="5">
        <f t="shared" si="0"/>
        <v>2.3185951604864932E-2</v>
      </c>
      <c r="I17" s="5">
        <f t="shared" si="0"/>
        <v>0.14270060102965132</v>
      </c>
      <c r="J17" s="5"/>
      <c r="K17" s="5">
        <f>(K16-K15)/K15</f>
        <v>0.14562009442132437</v>
      </c>
      <c r="L17" s="5">
        <f>(L16-L15)/L15</f>
        <v>0.42869930084596763</v>
      </c>
      <c r="M17" s="5">
        <f>(M16-M15)/M15</f>
        <v>0.29545552124512586</v>
      </c>
      <c r="N17" s="5"/>
      <c r="O17" s="5">
        <f>(O16-O15)/O15</f>
        <v>0.42293814690929205</v>
      </c>
      <c r="P17" s="5">
        <f>(P16-P15)/P15</f>
        <v>0.27820617602350389</v>
      </c>
      <c r="Q17" s="3">
        <f>(Q16-Q15)/Q15</f>
        <v>0.11323053635685686</v>
      </c>
    </row>
    <row r="18" spans="1:17" ht="30" x14ac:dyDescent="0.25">
      <c r="A18" s="13" t="s">
        <v>35</v>
      </c>
      <c r="B18" s="2">
        <f t="shared" ref="B18:I18" si="1">(((B16/B15)^(1/10))-1)</f>
        <v>2.6451533540780892E-2</v>
      </c>
      <c r="C18" s="2">
        <f t="shared" si="1"/>
        <v>5.2111937123012542E-2</v>
      </c>
      <c r="D18" s="2">
        <f t="shared" si="1"/>
        <v>2.8123224925699963E-2</v>
      </c>
      <c r="E18" s="2">
        <f t="shared" si="1"/>
        <v>3.2443223349629013E-2</v>
      </c>
      <c r="F18" s="2">
        <f t="shared" si="1"/>
        <v>3.6046632206204521E-2</v>
      </c>
      <c r="G18" s="2">
        <f t="shared" si="1"/>
        <v>3.3674604247818207E-2</v>
      </c>
      <c r="H18" s="2">
        <f t="shared" si="1"/>
        <v>2.2947530573342867E-3</v>
      </c>
      <c r="I18" s="2">
        <f t="shared" si="1"/>
        <v>1.342880818400749E-2</v>
      </c>
      <c r="J18" s="2"/>
      <c r="K18" s="2">
        <f>(((K16/K15)^(1/10))-1)</f>
        <v>1.3687432583104009E-2</v>
      </c>
      <c r="L18" s="2">
        <f>(((L16/L15)^(1/10))-1)</f>
        <v>3.6320485619704801E-2</v>
      </c>
      <c r="M18" s="2">
        <f>(((M16/M15)^(1/10))-1)</f>
        <v>2.6224197250112491E-2</v>
      </c>
      <c r="N18" s="2"/>
      <c r="O18" s="2">
        <f>(((O16/O15)^(1/10))-1)</f>
        <v>3.5901834648920605E-2</v>
      </c>
      <c r="P18" s="2">
        <f>(((P16/P15)^(1/10))-1)</f>
        <v>2.4849494324322485E-2</v>
      </c>
      <c r="Q18" s="2">
        <f>(((Q16/Q15)^(1/10))-1)</f>
        <v>1.0784354566994114E-2</v>
      </c>
    </row>
    <row r="19" spans="1:17" x14ac:dyDescent="0.25">
      <c r="A19" s="26" t="s">
        <v>27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16.5" customHeight="1" x14ac:dyDescent="0.25">
      <c r="A20" s="24" t="s">
        <v>36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ht="14.25" customHeight="1" x14ac:dyDescent="0.25">
      <c r="A21" s="23" t="s">
        <v>31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2022-04-26T05:42:37Z</cp:lastPrinted>
  <dcterms:created xsi:type="dcterms:W3CDTF">2018-10-29T04:00:15Z</dcterms:created>
  <dcterms:modified xsi:type="dcterms:W3CDTF">2025-01-24T09:24:44Z</dcterms:modified>
</cp:coreProperties>
</file>