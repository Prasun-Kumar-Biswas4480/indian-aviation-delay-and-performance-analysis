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VISTARA\"/>
    </mc:Choice>
  </mc:AlternateContent>
  <bookViews>
    <workbookView xWindow="0" yWindow="0" windowWidth="24000" windowHeight="9435"/>
  </bookViews>
  <sheets>
    <sheet name="VISTA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Q6" i="1"/>
  <c r="H6" i="1"/>
  <c r="H18" i="1" l="1"/>
  <c r="Q17" i="1"/>
  <c r="Q16" i="1"/>
  <c r="Q15" i="1"/>
  <c r="Q14" i="1"/>
  <c r="Q13" i="1"/>
  <c r="Q12" i="1"/>
  <c r="Q11" i="1"/>
  <c r="Q10" i="1"/>
  <c r="Q9" i="1"/>
  <c r="Q8" i="1"/>
  <c r="Q7" i="1"/>
  <c r="H17" i="1"/>
  <c r="H16" i="1"/>
  <c r="H15" i="1"/>
  <c r="H14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<sst xmlns="http://schemas.openxmlformats.org/spreadsheetml/2006/main" count="26" uniqueCount="24">
  <si>
    <t xml:space="preserve">तालिका 1.03 (विस्तारा) </t>
  </si>
  <si>
    <t>Table 1.03 (VISTARA)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</si>
  <si>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</si>
  <si>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</si>
  <si>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</si>
  <si>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</si>
  <si>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</si>
  <si>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</si>
  <si>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</si>
  <si>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</si>
  <si>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</si>
  <si>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</si>
  <si>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</si>
  <si>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</si>
  <si>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</si>
  <si>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</si>
  <si>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</si>
  <si>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</si>
  <si>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</si>
  <si>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</si>
  <si>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</si>
  <si>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VISTARA</t>
  </si>
  <si>
    <t>2023-24</t>
  </si>
  <si>
    <t>MONTHLY TRAFFIC AND OPERATING STATISTICS OF VISTARA ON SCHEDULED (DOMESTIC + INTERNATIONAL)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</si>
</sst>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.0_);_(* \(#,##0.0\);_(* &quot;-&quot;??_);_(@_)"/>
    <numFmt numFmtId="165" formatCode="#,##0.0"/>
    <numFmt numFmtId="166" formatCode="_(* #,##0_);_(* \(#,##0\);_(* &quot;-&quot;??_);_(@_)"/>
    <numFmt numFmtId="167" formatCode="[$-409]mmmm/yy;@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</cellStyleXfs>
  <cellXfs count="27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166" fontId="1" fillId="3" borderId="1" xfId="3" applyNumberFormat="1" applyBorder="1" applyAlignment="1">
      <alignment horizontal="center" vertical="center"/>
    </xf>
    <xf numFmtId="165" fontId="2" fillId="3" borderId="1" xfId="3" applyNumberFormat="1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164" fontId="0" fillId="3" borderId="1" xfId="3" applyNumberFormat="1" applyFont="1" applyBorder="1" applyAlignment="1">
      <alignment horizontal="center" vertical="center"/>
    </xf>
    <xf numFmtId="164" fontId="1" fillId="5" borderId="1" xfId="3" applyNumberForma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167" fontId="2" fillId="7" borderId="1" xfId="4" applyNumberFormat="1" applyFont="1" applyFill="1" applyBorder="1" applyAlignment="1" applyProtection="1">
      <alignment horizontal="center" vertical="center" wrapText="1"/>
    </xf>
    <xf numFmtId="164" fontId="4" fillId="5" borderId="1" xfId="3" applyNumberFormat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164" fontId="4" fillId="3" borderId="1" xfId="3" applyNumberFormat="1" applyFont="1" applyBorder="1" applyAlignment="1">
      <alignment horizontal="center" vertical="center"/>
    </xf>
    <xf numFmtId="168" fontId="1" fillId="7" borderId="1" xfId="4" applyNumberFormat="1" applyFill="1" applyBorder="1" applyAlignment="1" applyProtection="1">
      <alignment horizontal="center" vertical="center" wrapText="1"/>
    </xf>
    <xf numFmtId="168" fontId="1" fillId="5" borderId="1" xfId="4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5">
    <cellStyle name="40% - Accent1" xfId="3" builtinId="31"/>
    <cellStyle name="40% - Accent6" xfId="4" builtinId="5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93" zoomScaleSheetLayoutView="100" workbookViewId="0">
      <selection activeCell="H18" sqref="H18"/>
    </sheetView>
  </sheetViews>
  <sheetFormatPr defaultRowHeight="18" customHeight="1" x14ac:dyDescent="0.25"/>
  <cols>
    <col min="1" max="1" width="13.5703125" customWidth="1"/>
    <col min="2" max="2" width="10.7109375" customWidth="1"/>
    <col min="3" max="3" width="10.140625" customWidth="1"/>
    <col min="4" max="4" width="10" bestFit="1" customWidth="1"/>
    <col min="5" max="5" width="12.7109375" customWidth="1"/>
    <col min="6" max="6" width="12.140625" customWidth="1"/>
    <col min="7" max="7" width="11.42578125" customWidth="1"/>
    <col min="8" max="8" width="8.140625" customWidth="1"/>
    <col min="9" max="9" width="10.28515625" customWidth="1"/>
    <col min="10" max="12" width="10.140625" customWidth="1"/>
    <col min="13" max="13" width="9.42578125" customWidth="1"/>
    <col min="14" max="14" width="8.140625" customWidth="1"/>
    <col min="15" max="15" width="9.7109375" customWidth="1"/>
    <col min="16" max="16" width="11.5703125" customWidth="1"/>
    <col min="17" max="17" width="8.140625" customWidth="1"/>
  </cols>
  <sheetData>
    <row r="1" spans="1:17" ht="18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8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8" customHeight="1" x14ac:dyDescent="0.25">
      <c r="A3" s="25" t="s">
        <v>23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30.75" customHeight="1" x14ac:dyDescent="0.25">
      <c r="A4" s="25" t="s">
        <v>2</v>
      </c>
      <c r="B4" s="25" t="s">
        <v>3</v>
      </c>
      <c r="C4" s="25"/>
      <c r="D4" s="25"/>
      <c r="E4" s="25" t="s">
        <v>4</v>
      </c>
      <c r="F4" s="26"/>
      <c r="G4" s="17" t="s">
        <v>5</v>
      </c>
      <c r="H4" s="17" t="s">
        <v>6</v>
      </c>
      <c r="I4" s="25" t="s">
        <v>7</v>
      </c>
      <c r="J4" s="25"/>
      <c r="K4" s="25"/>
      <c r="L4" s="25" t="s">
        <v>8</v>
      </c>
      <c r="M4" s="25"/>
      <c r="N4" s="25"/>
      <c r="O4" s="25"/>
      <c r="P4" s="17" t="s">
        <v>9</v>
      </c>
      <c r="Q4" s="17" t="s">
        <v>10</v>
      </c>
    </row>
    <row r="5" spans="1:17" ht="100.9" customHeight="1" x14ac:dyDescent="0.25">
      <c r="A5" s="25"/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18"/>
      <c r="H5" s="18"/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17</v>
      </c>
      <c r="O5" s="7" t="s">
        <v>18</v>
      </c>
      <c r="P5" s="18"/>
      <c r="Q5" s="18"/>
    </row>
    <row r="6" spans="1:17" ht="18" customHeight="1" x14ac:dyDescent="0.25">
      <c r="A6" s="15">
        <v>45017</v>
      </c>
      <c r="B6" s="1">
        <v>8248</v>
      </c>
      <c r="C6" s="4">
        <v>15937.466666666667</v>
      </c>
      <c r="D6" s="4">
        <v>10961.069</v>
      </c>
      <c r="E6" s="4">
        <v>1274542</v>
      </c>
      <c r="F6" s="1">
        <v>1736.4307980000003</v>
      </c>
      <c r="G6" s="1">
        <v>1994.0206280000002</v>
      </c>
      <c r="H6" s="8">
        <f t="shared" ref="H6:H18" si="0">F6/G6*100</f>
        <v>87.081887399612199</v>
      </c>
      <c r="I6" s="1">
        <v>7043.9852600000004</v>
      </c>
      <c r="J6" s="1">
        <v>437.33157999999997</v>
      </c>
      <c r="K6" s="1">
        <v>7481.3168400000004</v>
      </c>
      <c r="L6" s="1">
        <v>164.24387094000002</v>
      </c>
      <c r="M6" s="1">
        <v>15.392763580238549</v>
      </c>
      <c r="N6" s="1">
        <v>0.58534221519999996</v>
      </c>
      <c r="O6" s="1">
        <v>180.22197673543855</v>
      </c>
      <c r="P6" s="1">
        <v>205.458470664</v>
      </c>
      <c r="Q6" s="8">
        <f t="shared" ref="Q6" si="1">O6/P6*100</f>
        <v>87.716985409751061</v>
      </c>
    </row>
    <row r="7" spans="1:17" ht="18" customHeight="1" x14ac:dyDescent="0.25">
      <c r="A7" s="16">
        <v>45047</v>
      </c>
      <c r="B7" s="9">
        <v>8633</v>
      </c>
      <c r="C7" s="9">
        <v>16580.083333333332</v>
      </c>
      <c r="D7" s="9">
        <v>11434.722</v>
      </c>
      <c r="E7" s="9">
        <v>1356943</v>
      </c>
      <c r="F7" s="9">
        <v>1845.0757210000002</v>
      </c>
      <c r="G7" s="9">
        <v>2084.6953130000002</v>
      </c>
      <c r="H7" s="10">
        <f t="shared" si="0"/>
        <v>88.505773937047266</v>
      </c>
      <c r="I7" s="9">
        <v>8627.6054599999989</v>
      </c>
      <c r="J7" s="9">
        <v>502.35496999999998</v>
      </c>
      <c r="K7" s="9">
        <v>9129.9604299999992</v>
      </c>
      <c r="L7" s="9">
        <v>174.57933436500002</v>
      </c>
      <c r="M7" s="9">
        <v>8.514239471782199</v>
      </c>
      <c r="N7" s="9">
        <v>0.60022740566999988</v>
      </c>
      <c r="O7" s="9">
        <v>183.6938012424522</v>
      </c>
      <c r="P7" s="9">
        <v>237.29405906400001</v>
      </c>
      <c r="Q7" s="10">
        <f t="shared" ref="Q7:Q17" si="2">O7/P7*100</f>
        <v>77.411883789685859</v>
      </c>
    </row>
    <row r="8" spans="1:17" ht="18" customHeight="1" x14ac:dyDescent="0.25">
      <c r="A8" s="15">
        <v>45078</v>
      </c>
      <c r="B8" s="1">
        <v>7539</v>
      </c>
      <c r="C8" s="1">
        <v>15181.766666666666</v>
      </c>
      <c r="D8" s="1">
        <v>10615.617</v>
      </c>
      <c r="E8" s="1">
        <v>1185434</v>
      </c>
      <c r="F8" s="1">
        <v>1767.6378439999999</v>
      </c>
      <c r="G8" s="1">
        <v>1978.5711059999999</v>
      </c>
      <c r="H8" s="1">
        <f t="shared" si="0"/>
        <v>89.33911137384213</v>
      </c>
      <c r="I8" s="1">
        <v>8381.2238399999987</v>
      </c>
      <c r="J8" s="1">
        <v>451.35111999999998</v>
      </c>
      <c r="K8" s="1">
        <v>8832.5749599999999</v>
      </c>
      <c r="L8" s="1">
        <v>168.93864303000001</v>
      </c>
      <c r="M8" s="1">
        <v>7.4369974672521986</v>
      </c>
      <c r="N8" s="1">
        <v>0.53060265971999998</v>
      </c>
      <c r="O8" s="1">
        <v>176.90624315697221</v>
      </c>
      <c r="P8" s="1">
        <v>227.914182622</v>
      </c>
      <c r="Q8" s="1">
        <f t="shared" si="2"/>
        <v>77.619672949609537</v>
      </c>
    </row>
    <row r="9" spans="1:17" ht="18" customHeight="1" x14ac:dyDescent="0.25">
      <c r="A9" s="16">
        <v>45108</v>
      </c>
      <c r="B9" s="9">
        <v>8002</v>
      </c>
      <c r="C9" s="9">
        <v>16281.95</v>
      </c>
      <c r="D9" s="9">
        <v>11202.046</v>
      </c>
      <c r="E9" s="9">
        <v>1197545</v>
      </c>
      <c r="F9" s="9">
        <v>1767.358142</v>
      </c>
      <c r="G9" s="9">
        <v>2082.6905580000002</v>
      </c>
      <c r="H9" s="10">
        <f t="shared" si="0"/>
        <v>84.859372661543503</v>
      </c>
      <c r="I9" s="9">
        <v>8883.2813000000006</v>
      </c>
      <c r="J9" s="9">
        <v>407.27379999999999</v>
      </c>
      <c r="K9" s="9">
        <v>9290.5550999999996</v>
      </c>
      <c r="L9" s="9">
        <v>168.91289599499999</v>
      </c>
      <c r="M9" s="9">
        <v>9.3276116110521983</v>
      </c>
      <c r="N9" s="9">
        <v>0.51199005751000004</v>
      </c>
      <c r="O9" s="9">
        <v>178.7524976635622</v>
      </c>
      <c r="P9" s="9">
        <v>220.60763178000002</v>
      </c>
      <c r="Q9" s="10">
        <f t="shared" si="2"/>
        <v>81.027340813767651</v>
      </c>
    </row>
    <row r="10" spans="1:17" ht="18" customHeight="1" x14ac:dyDescent="0.25">
      <c r="A10" s="15">
        <v>45139</v>
      </c>
      <c r="B10" s="1">
        <v>8912</v>
      </c>
      <c r="C10" s="1">
        <v>17446.966666666667</v>
      </c>
      <c r="D10" s="1">
        <v>12022.513000000001</v>
      </c>
      <c r="E10" s="1">
        <v>1387966</v>
      </c>
      <c r="F10" s="1">
        <v>1958.7274430000002</v>
      </c>
      <c r="G10" s="1">
        <v>2222.0529700000002</v>
      </c>
      <c r="H10" s="1">
        <f t="shared" si="0"/>
        <v>88.149448705536486</v>
      </c>
      <c r="I10" s="1">
        <v>9236.7599300000002</v>
      </c>
      <c r="J10" s="1">
        <v>497.00205</v>
      </c>
      <c r="K10" s="1">
        <v>9733.7619799999993</v>
      </c>
      <c r="L10" s="1">
        <v>185.89311115499996</v>
      </c>
      <c r="M10" s="1">
        <v>9.6069493160363049</v>
      </c>
      <c r="N10" s="1">
        <v>0.62024652375000022</v>
      </c>
      <c r="O10" s="14">
        <v>196.12030699478626</v>
      </c>
      <c r="P10" s="1">
        <v>257.52591686400001</v>
      </c>
      <c r="Q10" s="1">
        <f t="shared" si="2"/>
        <v>76.155561111294986</v>
      </c>
    </row>
    <row r="11" spans="1:17" ht="18" customHeight="1" x14ac:dyDescent="0.25">
      <c r="A11" s="16">
        <v>45170</v>
      </c>
      <c r="B11" s="9">
        <v>8913</v>
      </c>
      <c r="C11" s="9">
        <v>17733.849999999999</v>
      </c>
      <c r="D11" s="9">
        <v>11991.944</v>
      </c>
      <c r="E11" s="9">
        <v>1398645</v>
      </c>
      <c r="F11" s="9">
        <v>1950.0931290000003</v>
      </c>
      <c r="G11" s="9">
        <v>2219.3960750000001</v>
      </c>
      <c r="H11" s="10">
        <f t="shared" si="0"/>
        <v>87.86593573659448</v>
      </c>
      <c r="I11" s="9">
        <v>8905.8777740000005</v>
      </c>
      <c r="J11" s="9">
        <v>455.08875</v>
      </c>
      <c r="K11" s="9">
        <v>9360.9665239999995</v>
      </c>
      <c r="L11" s="9">
        <v>184.80717262499999</v>
      </c>
      <c r="M11" s="9">
        <v>9.2914237494263059</v>
      </c>
      <c r="N11" s="9">
        <v>0.56748937589000004</v>
      </c>
      <c r="O11" s="9">
        <v>194.66608575031631</v>
      </c>
      <c r="P11" s="9">
        <v>257.24190751599997</v>
      </c>
      <c r="Q11" s="10">
        <f t="shared" si="2"/>
        <v>75.674328351109921</v>
      </c>
    </row>
    <row r="12" spans="1:17" ht="18" customHeight="1" x14ac:dyDescent="0.25">
      <c r="A12" s="15">
        <v>45200</v>
      </c>
      <c r="B12" s="1">
        <v>9276</v>
      </c>
      <c r="C12" s="1">
        <v>18153.333333333332</v>
      </c>
      <c r="D12" s="1">
        <v>12444.938999999998</v>
      </c>
      <c r="E12" s="1">
        <v>1412935</v>
      </c>
      <c r="F12" s="1">
        <v>1973.5143330000001</v>
      </c>
      <c r="G12" s="1">
        <v>2297.456142</v>
      </c>
      <c r="H12" s="1">
        <f t="shared" si="0"/>
        <v>85.899978542441318</v>
      </c>
      <c r="I12" s="1">
        <v>9418.2590500000006</v>
      </c>
      <c r="J12" s="1">
        <v>445.10166999999996</v>
      </c>
      <c r="K12" s="1">
        <v>9863.3607200000006</v>
      </c>
      <c r="L12" s="1">
        <v>187.43849224500002</v>
      </c>
      <c r="M12" s="1">
        <v>9.5439995868221885</v>
      </c>
      <c r="N12" s="1">
        <v>0.5620026602499999</v>
      </c>
      <c r="O12" s="14">
        <v>197.5444944920722</v>
      </c>
      <c r="P12" s="1">
        <v>266.12661100000003</v>
      </c>
      <c r="Q12" s="14">
        <f t="shared" si="2"/>
        <v>74.22951569922941</v>
      </c>
    </row>
    <row r="13" spans="1:17" ht="18" customHeight="1" x14ac:dyDescent="0.25">
      <c r="A13" s="16">
        <v>45231</v>
      </c>
      <c r="B13" s="9">
        <v>9185</v>
      </c>
      <c r="C13" s="9">
        <v>18488.150000000001</v>
      </c>
      <c r="D13" s="9">
        <v>12565.951999999999</v>
      </c>
      <c r="E13" s="9">
        <v>1400307</v>
      </c>
      <c r="F13" s="9">
        <v>2017.7763199999999</v>
      </c>
      <c r="G13" s="9">
        <v>2332.5543739999998</v>
      </c>
      <c r="H13" s="10">
        <f>F13/G13*100</f>
        <v>86.505006806756654</v>
      </c>
      <c r="I13" s="9">
        <v>9193.9581199999993</v>
      </c>
      <c r="J13" s="9">
        <v>431.84147999999999</v>
      </c>
      <c r="K13" s="9">
        <v>9625.7996000000003</v>
      </c>
      <c r="L13" s="9">
        <v>192.59104768499998</v>
      </c>
      <c r="M13" s="9">
        <v>8.862784136208834</v>
      </c>
      <c r="N13" s="9">
        <v>0.54623880000000002</v>
      </c>
      <c r="O13" s="9">
        <v>202.00007062120881</v>
      </c>
      <c r="P13" s="9">
        <v>269.74190455799999</v>
      </c>
      <c r="Q13" s="13">
        <f t="shared" si="2"/>
        <v>74.886425582338362</v>
      </c>
    </row>
    <row r="14" spans="1:17" ht="18" customHeight="1" x14ac:dyDescent="0.25">
      <c r="A14" s="15">
        <v>45261</v>
      </c>
      <c r="B14" s="1">
        <v>9807</v>
      </c>
      <c r="C14" s="1">
        <v>20118.616666666665</v>
      </c>
      <c r="D14" s="1">
        <v>13772.378000000001</v>
      </c>
      <c r="E14" s="1">
        <v>1562539</v>
      </c>
      <c r="F14" s="1">
        <v>2307.5164690000001</v>
      </c>
      <c r="G14" s="1">
        <v>2565.644472</v>
      </c>
      <c r="H14" s="1">
        <f t="shared" si="0"/>
        <v>89.939057970928417</v>
      </c>
      <c r="I14" s="1">
        <v>9480.5164100000002</v>
      </c>
      <c r="J14" s="1">
        <v>491.06729000000001</v>
      </c>
      <c r="K14" s="1">
        <v>9971.5836999999992</v>
      </c>
      <c r="L14" s="1">
        <v>221.20361019000001</v>
      </c>
      <c r="M14" s="1">
        <v>8.7858739226088254</v>
      </c>
      <c r="N14" s="1">
        <v>0.62341006329999993</v>
      </c>
      <c r="O14" s="14">
        <v>230.61289417590882</v>
      </c>
      <c r="P14" s="1">
        <v>264.34766464799998</v>
      </c>
      <c r="Q14" s="14">
        <f t="shared" si="2"/>
        <v>87.238483639712996</v>
      </c>
    </row>
    <row r="15" spans="1:17" ht="18" customHeight="1" x14ac:dyDescent="0.25">
      <c r="A15" s="16">
        <v>45292</v>
      </c>
      <c r="B15" s="9">
        <v>9703</v>
      </c>
      <c r="C15" s="9">
        <v>19976.883333333335</v>
      </c>
      <c r="D15" s="9">
        <v>13601.851999999999</v>
      </c>
      <c r="E15" s="9">
        <v>1541459</v>
      </c>
      <c r="F15" s="9">
        <v>2264.5379979999998</v>
      </c>
      <c r="G15" s="9">
        <v>2530.2432239999998</v>
      </c>
      <c r="H15" s="10">
        <f t="shared" si="0"/>
        <v>89.498826694615033</v>
      </c>
      <c r="I15" s="9">
        <v>9154.6944499999972</v>
      </c>
      <c r="J15" s="9">
        <v>428.66474000000005</v>
      </c>
      <c r="K15" s="9">
        <v>9583.3591899999974</v>
      </c>
      <c r="L15" s="9">
        <v>216.88333993499998</v>
      </c>
      <c r="M15" s="9">
        <v>8.5461479700788257</v>
      </c>
      <c r="N15" s="9">
        <v>0.54836199627000004</v>
      </c>
      <c r="O15" s="9">
        <v>225.9778499013488</v>
      </c>
      <c r="P15" s="9">
        <v>294.92809722200002</v>
      </c>
      <c r="Q15" s="13">
        <f t="shared" si="2"/>
        <v>76.621336532493686</v>
      </c>
    </row>
    <row r="16" spans="1:17" ht="18" customHeight="1" x14ac:dyDescent="0.25">
      <c r="A16" s="15">
        <v>45323</v>
      </c>
      <c r="B16" s="1">
        <v>9329</v>
      </c>
      <c r="C16" s="1">
        <v>13596.45</v>
      </c>
      <c r="D16" s="1">
        <v>13057.524000000001</v>
      </c>
      <c r="E16" s="1">
        <v>1487429</v>
      </c>
      <c r="F16" s="1">
        <v>2186.4184879999998</v>
      </c>
      <c r="G16" s="1">
        <v>2424.3029179999999</v>
      </c>
      <c r="H16" s="1">
        <f t="shared" si="0"/>
        <v>90.187512120133491</v>
      </c>
      <c r="I16" s="1">
        <v>9188.2874400000001</v>
      </c>
      <c r="J16" s="1">
        <v>412.37132000000003</v>
      </c>
      <c r="K16" s="1">
        <v>9600.6587599999984</v>
      </c>
      <c r="L16" s="1">
        <v>209.57196718500001</v>
      </c>
      <c r="M16" s="1">
        <v>8.3397421683788249</v>
      </c>
      <c r="N16" s="1">
        <v>0.52364424309000002</v>
      </c>
      <c r="O16" s="14">
        <v>218.43535359646881</v>
      </c>
      <c r="P16" s="1">
        <v>282.14713153600002</v>
      </c>
      <c r="Q16" s="14">
        <f t="shared" si="2"/>
        <v>77.418952447722461</v>
      </c>
    </row>
    <row r="17" spans="1:17" ht="18" customHeight="1" x14ac:dyDescent="0.25">
      <c r="A17" s="16">
        <v>45352</v>
      </c>
      <c r="B17" s="9">
        <v>9821</v>
      </c>
      <c r="C17" s="9">
        <v>20555.05</v>
      </c>
      <c r="D17" s="9">
        <v>14141.974</v>
      </c>
      <c r="E17" s="9">
        <v>1544761</v>
      </c>
      <c r="F17" s="12">
        <v>2375.579761</v>
      </c>
      <c r="G17" s="9">
        <v>2659.8967820000003</v>
      </c>
      <c r="H17" s="13">
        <f t="shared" si="0"/>
        <v>89.310975413631667</v>
      </c>
      <c r="I17" s="12">
        <v>10087.050589999999</v>
      </c>
      <c r="J17" s="12">
        <v>409.83471000000009</v>
      </c>
      <c r="K17" s="12">
        <v>10496.885299999998</v>
      </c>
      <c r="L17" s="12">
        <v>216.78546447000002</v>
      </c>
      <c r="M17" s="12">
        <v>7.7717957213088242</v>
      </c>
      <c r="N17" s="9">
        <v>0.53550065387177015</v>
      </c>
      <c r="O17" s="12">
        <v>225.09276084518061</v>
      </c>
      <c r="P17" s="9">
        <v>299.17662759300003</v>
      </c>
      <c r="Q17" s="13">
        <f t="shared" si="2"/>
        <v>75.237414986640218</v>
      </c>
    </row>
    <row r="18" spans="1:17" ht="18" customHeight="1" x14ac:dyDescent="0.25">
      <c r="A18" s="11" t="s">
        <v>22</v>
      </c>
      <c r="B18" s="6">
        <f>SUM(B6:B17)</f>
        <v>107368</v>
      </c>
      <c r="C18" s="5">
        <f t="shared" ref="C18:G18" si="3">SUM(C6:C17)</f>
        <v>210050.56666666668</v>
      </c>
      <c r="D18" s="2">
        <f t="shared" si="3"/>
        <v>147812.52999999997</v>
      </c>
      <c r="E18" s="2">
        <f t="shared" si="3"/>
        <v>16750505</v>
      </c>
      <c r="F18" s="3">
        <f t="shared" si="3"/>
        <v>24150.666445999999</v>
      </c>
      <c r="G18" s="3">
        <f t="shared" si="3"/>
        <v>27391.524562000002</v>
      </c>
      <c r="H18" s="1">
        <f t="shared" si="0"/>
        <v>88.168390887975562</v>
      </c>
      <c r="I18" s="5">
        <f t="shared" ref="I18:P18" si="4">SUM(I6:I17)</f>
        <v>107601.49962399999</v>
      </c>
      <c r="J18" s="5">
        <f t="shared" si="4"/>
        <v>5369.2834800000001</v>
      </c>
      <c r="K18" s="5">
        <f t="shared" si="4"/>
        <v>112970.783104</v>
      </c>
      <c r="L18" s="3">
        <f t="shared" si="4"/>
        <v>2291.8489498200001</v>
      </c>
      <c r="M18" s="3">
        <f t="shared" si="4"/>
        <v>111.42032870119407</v>
      </c>
      <c r="N18" s="3">
        <f t="shared" si="4"/>
        <v>6.755056654521769</v>
      </c>
      <c r="O18" s="3">
        <f t="shared" si="4"/>
        <v>2410.0243351757158</v>
      </c>
      <c r="P18" s="3">
        <f t="shared" si="4"/>
        <v>3082.5102050669998</v>
      </c>
      <c r="Q18" s="6">
        <f>O18/P18*100</f>
        <v>78.183823405163153</v>
      </c>
    </row>
    <row r="19" spans="1:17" ht="18" customHeight="1" x14ac:dyDescent="0.25">
      <c r="A19" s="19" t="s">
        <v>21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4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2020-06-15T06:18:00Z</cp:lastPrinted>
  <dcterms:created xsi:type="dcterms:W3CDTF">2020-06-03T10:43:05Z</dcterms:created>
  <dcterms:modified xsi:type="dcterms:W3CDTF">2025-01-24T07:04:39Z</dcterms:modified>
</cp:coreProperties>
</file>