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FLY 91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G!$A$1:$L$34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<sst xmlns="http://schemas.openxmlformats.org/spreadsheetml/2006/main" count="906" uniqueCount="215">
  <si>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</si>
  <si>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</si>
  <si>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</si>
  <si>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</si>
  <si>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</si>
  <si>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</si>
  <si>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</si>
  <si>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</si>
  <si>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</si>
  <si>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</si>
  <si>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</si>
  <si>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</si>
  <si>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</si>
  <si>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</si>
  <si>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</si>
  <si>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</si>
  <si>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</si>
  <si>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</si>
  <si>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</si>
  <si>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</si>
  <si>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</si>
  <si>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</si>
  <si>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</si>
  <si>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</si>
  <si>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</si>
  <si>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</si>
  <si>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</si>
  <si>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</si>
  <si>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</si>
  <si>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</si>
  <si>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</si>
  <si>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</si>
  <si>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</si>
  <si>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</si>
  <si>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</si>
  <si>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</si>
  <si>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</si>
  <si>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</si>
  <si>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</si>
  <si>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</si>
  <si>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</si>
  <si>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</si>
  <si>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</si>
  <si>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</si>
  <si>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</si>
  <si>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</si>
  <si>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</si>
  <si>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</si>
  <si>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</si>
  <si>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</si>
  <si>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</si>
  <si>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</si>
  <si>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</si>
  <si>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</si>
  <si>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</si>
  <si>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</si>
  <si>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</si>
  <si>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</si>
  <si>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</si>
  <si>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</si>
  <si>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</si>
  <si>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</si>
  <si>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</si>
  <si>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</si>
  <si>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</si>
  <si>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</si>
  <si>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</si>
  <si>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</si>
  <si>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</si>
  <si>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</si>
  <si>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</si>
  <si>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</si>
  <si>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</si>
  <si>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</si>
  <si>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</si>
  <si>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</si>
  <si>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</si>
  <si>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</si>
  <si>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</si>
  <si>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</si>
  <si>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</si>
  <si>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</si>
  <si>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</si>
  <si>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</si>
  <si>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</si>
  <si>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</si>
  <si>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</si>
  <si>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</si>
  <si>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</si>
  <si>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</si>
  <si>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</si>
  <si>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</si>
  <si>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</si>
  <si>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</si>
  <si>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</si>
  <si>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</si>
  <si>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</si>
  <si>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</si>
  <si>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</si>
  <si>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</si>
  <si>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</si>
  <si>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</si>
  <si>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</si>
  <si>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</si>
  <si>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</si>
  <si>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</si>
  <si>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</si>
  <si>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</si>
  <si>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</si>
  <si>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</si>
  <si>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</si>
  <si>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</si>
  <si>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</si>
  <si>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</si>
  <si>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</si>
  <si>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</si>
  <si>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</si>
  <si>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</si>
  <si>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</si>
  <si>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</si>
  <si>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</si>
  <si>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</si>
  <si>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</si>
  <si>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</si>
  <si>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</si>
  <si>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</si>
  <si>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</si>
  <si>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</si>
  <si>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</si>
  <si>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</si>
  <si>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</si>
  <si>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</si>
  <si>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</si>
  <si>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</si>
  <si>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</si>
  <si>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</si>
  <si>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</si>
  <si>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</si>
  <si>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</si>
  <si>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</si>
  <si>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</si>
  <si>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</si>
  <si>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</si>
  <si>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</si>
  <si>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</si>
  <si>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</si>
  <si>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</si>
  <si>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</si>
  <si>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</si>
  <si>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</si>
  <si>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</si>
  <si>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</si>
  <si>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</si>
  <si>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</si>
  <si>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</si>
  <si>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</si>
  <si>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</si>
  <si>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</si>
  <si>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</si>
  <si>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</si>
  <si>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</si>
  <si>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</si>
  <si>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</si>
  <si>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</si>
  <si>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</si>
  <si>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</si>
  <si>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</si>
  <si>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</si>
  <si>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</si>
  <si>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</si>
  <si>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</si>
  <si>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</si>
  <si>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</si>
  <si>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</si>
  <si>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</si>
  <si>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</si>
  <si>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</si>
  <si>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</si>
  <si>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</si>
  <si>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</si>
  <si>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</si>
  <si>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</si>
  <si>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</si>
  <si>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</si>
  <si>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</si>
  <si>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</si>
  <si>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</si>
  <si>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</si>
  <si>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</si>
  <si>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</si>
  <si>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</si>
  <si>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</si>
  <si>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</si>
  <si>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</si>
  <si>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</si>
  <si>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</si>
  <si>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</si>
  <si>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</si>
  <si>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</si>
  <si>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</si>
  <si>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</si>
  <si>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</si>
  <si>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</si>
  <si>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</si>
  <si>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</si>
  <si>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</si>
  <si>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</si>
  <si>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</si>
  <si>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</si>
  <si>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</si>
  <si>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>2023-24</t>
  </si>
  <si>
    <t>SOURCE : ICAO ATR FORM-D FURNISHED BY FLY 91</t>
  </si>
  <si>
    <t>YEAR-WISE DETAILED FINANCIAL RESULTS OF FLY 91</t>
  </si>
  <si>
    <t xml:space="preserve">तालिका 1G (फ्लाई 91) </t>
  </si>
  <si>
    <t>TABLE - 1G (FLY 91)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</si>
</sst>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5" formatCode="_(* #,##0.00_);_(* \(#,##0.00\);_(* &quot;-&quot;??_);_(@_)"/>
    <numFmt numFmtId="166" formatCode="#,##0.0"/>
    <numFmt numFmtId="167" formatCode="0.0_)"/>
    <numFmt numFmtId="168" formatCode="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7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9" fontId="11" fillId="5" borderId="1" xfId="1" applyNumberFormat="1" applyFont="1" applyFill="1" applyBorder="1" applyAlignment="1" applyProtection="1">
      <alignment horizontal="left" wrapText="1"/>
    </xf>
    <xf numFmtId="169" fontId="8" fillId="5" borderId="1" xfId="1" applyNumberFormat="1" applyFont="1" applyFill="1" applyBorder="1" applyAlignment="1" applyProtection="1">
      <alignment horizontal="left" wrapText="1"/>
    </xf>
    <xf numFmtId="169" fontId="9" fillId="5" borderId="1" xfId="1" applyNumberFormat="1" applyFont="1" applyFill="1" applyBorder="1" applyAlignment="1" applyProtection="1">
      <alignment horizontal="left" wrapText="1"/>
    </xf>
    <xf numFmtId="169" fontId="8" fillId="5" borderId="1" xfId="1" applyNumberFormat="1" applyFont="1" applyFill="1" applyBorder="1" applyAlignment="1" applyProtection="1">
      <alignment horizontal="left" vertical="top" wrapText="1"/>
    </xf>
    <xf numFmtId="169" fontId="8" fillId="6" borderId="14" xfId="8" applyNumberFormat="1" applyFont="1" applyFill="1" applyBorder="1" applyAlignment="1" applyProtection="1">
      <alignment horizontal="left" vertical="center"/>
    </xf>
    <xf numFmtId="169" fontId="8" fillId="6" borderId="14" xfId="8" applyNumberFormat="1" applyFont="1" applyFill="1" applyBorder="1" applyAlignment="1" applyProtection="1">
      <alignment vertical="center"/>
    </xf>
    <xf numFmtId="169" fontId="9" fillId="6" borderId="13" xfId="8" applyNumberFormat="1" applyFont="1" applyFill="1" applyBorder="1" applyAlignment="1" applyProtection="1">
      <alignment vertical="center"/>
    </xf>
    <xf numFmtId="169" fontId="8" fillId="6" borderId="1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7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4" xfId="6" applyFont="1" applyFill="1" applyBorder="1" applyAlignment="1" applyProtection="1">
      <alignment horizontal="center" vertical="center" wrapText="1"/>
    </xf>
    <xf numFmtId="0" fontId="15" fillId="2" borderId="4" xfId="6" quotePrefix="1" applyFont="1" applyFill="1" applyBorder="1" applyAlignment="1" applyProtection="1">
      <alignment horizontal="center" vertical="center" wrapText="1"/>
    </xf>
    <xf numFmtId="167" fontId="15" fillId="2" borderId="5" xfId="4" applyFont="1" applyFill="1" applyBorder="1" applyAlignment="1">
      <alignment horizontal="center" vertical="center"/>
    </xf>
    <xf numFmtId="168" fontId="16" fillId="2" borderId="5" xfId="4" applyNumberFormat="1" applyFont="1" applyFill="1" applyBorder="1" applyAlignment="1">
      <alignment vertical="center"/>
    </xf>
    <xf numFmtId="167" fontId="16" fillId="2" borderId="5" xfId="4" applyFont="1" applyFill="1" applyBorder="1" applyAlignment="1"/>
    <xf numFmtId="167" fontId="16" fillId="2" borderId="4" xfId="4" applyFont="1" applyFill="1" applyBorder="1" applyAlignment="1" applyProtection="1">
      <alignment horizontal="left" vertical="center" wrapText="1" indent="3"/>
    </xf>
    <xf numFmtId="166" fontId="16" fillId="2" borderId="4" xfId="4" applyNumberFormat="1" applyFont="1" applyFill="1" applyBorder="1"/>
    <xf numFmtId="166" fontId="16" fillId="2" borderId="4" xfId="4" applyNumberFormat="1" applyFont="1" applyFill="1" applyBorder="1" applyAlignment="1">
      <alignment horizontal="right"/>
    </xf>
    <xf numFmtId="167" fontId="16" fillId="2" borderId="1" xfId="4" applyFont="1" applyFill="1" applyBorder="1" applyAlignment="1" applyProtection="1">
      <alignment horizontal="left" vertical="center" wrapText="1" indent="3"/>
    </xf>
    <xf numFmtId="166" fontId="16" fillId="2" borderId="1" xfId="4" applyNumberFormat="1" applyFont="1" applyFill="1" applyBorder="1"/>
    <xf numFmtId="166" fontId="16" fillId="2" borderId="1" xfId="4" applyNumberFormat="1" applyFont="1" applyFill="1" applyBorder="1" applyAlignment="1">
      <alignment horizontal="right"/>
    </xf>
    <xf numFmtId="167" fontId="16" fillId="2" borderId="5" xfId="4" applyFont="1" applyFill="1" applyBorder="1"/>
    <xf numFmtId="167" fontId="15" fillId="2" borderId="1" xfId="4" applyFont="1" applyFill="1" applyBorder="1" applyAlignment="1" applyProtection="1">
      <alignment horizontal="left" vertical="center" wrapText="1" indent="1"/>
    </xf>
    <xf numFmtId="166" fontId="15" fillId="2" borderId="1" xfId="4" applyNumberFormat="1" applyFont="1" applyFill="1" applyBorder="1" applyAlignment="1" applyProtection="1">
      <alignment horizontal="center" vertical="center" wrapText="1"/>
    </xf>
    <xf numFmtId="166" fontId="15" fillId="2" borderId="1" xfId="4" applyNumberFormat="1" applyFont="1" applyFill="1" applyBorder="1" applyAlignment="1" applyProtection="1">
      <alignment horizontal="right" vertical="center" wrapText="1"/>
    </xf>
    <xf numFmtId="167" fontId="15" fillId="2" borderId="1" xfId="4" quotePrefix="1" applyFont="1" applyFill="1" applyBorder="1" applyAlignment="1" applyProtection="1">
      <alignment horizontal="left" vertical="center" wrapText="1" indent="1"/>
    </xf>
    <xf numFmtId="167" fontId="15" fillId="3" borderId="1" xfId="4" applyFont="1" applyFill="1" applyBorder="1" applyAlignment="1" applyProtection="1">
      <alignment horizontal="left" vertical="center" wrapText="1"/>
    </xf>
    <xf numFmtId="166" fontId="15" fillId="3" borderId="1" xfId="4" applyNumberFormat="1" applyFont="1" applyFill="1" applyBorder="1" applyAlignment="1" applyProtection="1">
      <alignment horizontal="center" vertical="center" wrapText="1"/>
    </xf>
    <xf numFmtId="166" fontId="15" fillId="3" borderId="1" xfId="4" applyNumberFormat="1" applyFont="1" applyFill="1" applyBorder="1" applyAlignment="1" applyProtection="1">
      <alignment horizontal="right" vertical="center" wrapText="1"/>
    </xf>
    <xf numFmtId="0" fontId="16" fillId="0" borderId="0" xfId="5" applyFont="1" applyBorder="1"/>
    <xf numFmtId="167" fontId="16" fillId="2" borderId="4" xfId="4" quotePrefix="1" applyFont="1" applyFill="1" applyBorder="1" applyAlignment="1" applyProtection="1">
      <alignment horizontal="left" vertical="center" wrapText="1" indent="1"/>
    </xf>
    <xf numFmtId="167" fontId="16" fillId="2" borderId="1" xfId="4" quotePrefix="1" applyFont="1" applyFill="1" applyBorder="1" applyAlignment="1" applyProtection="1">
      <alignment horizontal="left" vertical="center" wrapText="1" indent="1"/>
    </xf>
    <xf numFmtId="167" fontId="15" fillId="2" borderId="1" xfId="4" applyFont="1" applyFill="1" applyBorder="1" applyAlignment="1" applyProtection="1">
      <alignment horizontal="left" vertical="center" wrapText="1"/>
    </xf>
    <xf numFmtId="166" fontId="16" fillId="2" borderId="1" xfId="4" applyNumberFormat="1" applyFont="1" applyFill="1" applyBorder="1" applyAlignment="1" applyProtection="1">
      <alignment horizontal="center" vertical="center" wrapText="1"/>
    </xf>
    <xf numFmtId="166" fontId="16" fillId="2" borderId="1" xfId="4" applyNumberFormat="1" applyFont="1" applyFill="1" applyBorder="1" applyAlignment="1">
      <alignment horizontal="right" vertical="center"/>
    </xf>
    <xf numFmtId="166" fontId="16" fillId="2" borderId="1" xfId="4" applyNumberFormat="1" applyFont="1" applyFill="1" applyBorder="1" applyAlignment="1">
      <alignment horizontal="center" vertical="center"/>
    </xf>
    <xf numFmtId="166" fontId="16" fillId="4" borderId="1" xfId="4" applyNumberFormat="1" applyFont="1" applyFill="1" applyBorder="1" applyAlignment="1">
      <alignment horizontal="center" vertical="center" wrapText="1"/>
    </xf>
    <xf numFmtId="167" fontId="16" fillId="2" borderId="2" xfId="4" quotePrefix="1" applyFont="1" applyFill="1" applyBorder="1" applyAlignment="1" applyProtection="1">
      <alignment horizontal="left" vertical="center" wrapText="1" indent="1"/>
    </xf>
    <xf numFmtId="166" fontId="16" fillId="2" borderId="2" xfId="4" applyNumberFormat="1" applyFont="1" applyFill="1" applyBorder="1" applyAlignment="1">
      <alignment horizontal="center" vertical="center"/>
    </xf>
    <xf numFmtId="166" fontId="16" fillId="2" borderId="2" xfId="4" applyNumberFormat="1" applyFont="1" applyFill="1" applyBorder="1" applyAlignment="1">
      <alignment horizontal="right" vertical="center"/>
    </xf>
    <xf numFmtId="166" fontId="16" fillId="2" borderId="4" xfId="4" applyNumberFormat="1" applyFont="1" applyFill="1" applyBorder="1" applyAlignment="1">
      <alignment horizontal="right" vertical="center"/>
    </xf>
    <xf numFmtId="167" fontId="15" fillId="2" borderId="5" xfId="4" quotePrefix="1" applyFont="1" applyFill="1" applyBorder="1" applyAlignment="1" applyProtection="1">
      <alignment horizontal="left" vertical="center" wrapText="1" indent="1"/>
    </xf>
    <xf numFmtId="167" fontId="15" fillId="2" borderId="6" xfId="4" quotePrefix="1" applyFont="1" applyFill="1" applyBorder="1" applyAlignment="1" applyProtection="1">
      <alignment horizontal="left" vertical="center" wrapText="1" indent="1"/>
    </xf>
    <xf numFmtId="167" fontId="15" fillId="2" borderId="3" xfId="4" quotePrefix="1" applyFont="1" applyFill="1" applyBorder="1" applyAlignment="1" applyProtection="1">
      <alignment horizontal="left" vertical="center" wrapText="1" indent="1"/>
    </xf>
    <xf numFmtId="0" fontId="15" fillId="2" borderId="5" xfId="6" applyFont="1" applyFill="1" applyBorder="1" applyAlignment="1" applyProtection="1">
      <alignment vertical="center" wrapText="1"/>
    </xf>
    <xf numFmtId="0" fontId="15" fillId="2" borderId="6" xfId="6" applyFont="1" applyFill="1" applyBorder="1" applyAlignment="1" applyProtection="1">
      <alignment vertical="center" wrapText="1"/>
    </xf>
    <xf numFmtId="0" fontId="15" fillId="2" borderId="3" xfId="6" applyFont="1" applyFill="1" applyBorder="1" applyAlignment="1" applyProtection="1">
      <alignment vertical="center" wrapText="1"/>
    </xf>
    <xf numFmtId="0" fontId="15" fillId="2" borderId="5" xfId="2" applyFont="1" applyFill="1" applyBorder="1" applyAlignment="1" applyProtection="1">
      <alignment vertical="center"/>
    </xf>
    <xf numFmtId="0" fontId="15" fillId="2" borderId="6" xfId="2" applyFont="1" applyFill="1" applyBorder="1" applyAlignment="1" applyProtection="1">
      <alignment vertical="center"/>
    </xf>
    <xf numFmtId="0" fontId="15" fillId="2" borderId="3" xfId="2" applyFont="1" applyFill="1" applyBorder="1" applyAlignment="1" applyProtection="1">
      <alignment vertical="center"/>
    </xf>
    <xf numFmtId="167" fontId="15" fillId="2" borderId="9" xfId="4" applyFont="1" applyFill="1" applyBorder="1" applyAlignment="1">
      <alignment horizontal="center" vertical="center" wrapText="1"/>
    </xf>
    <xf numFmtId="167" fontId="15" fillId="2" borderId="10" xfId="4" applyFont="1" applyFill="1" applyBorder="1" applyAlignment="1">
      <alignment horizontal="center" vertical="center" wrapText="1"/>
    </xf>
    <xf numFmtId="167" fontId="15" fillId="2" borderId="11" xfId="4" applyFont="1" applyFill="1" applyBorder="1" applyAlignment="1">
      <alignment horizontal="center" vertical="center" wrapText="1"/>
    </xf>
    <xf numFmtId="0" fontId="15" fillId="2" borderId="7" xfId="6" quotePrefix="1" applyFont="1" applyFill="1" applyBorder="1" applyAlignment="1" applyProtection="1">
      <alignment horizontal="center" vertical="center" wrapText="1"/>
    </xf>
    <xf numFmtId="0" fontId="15" fillId="2" borderId="8" xfId="6" quotePrefix="1" applyFont="1" applyFill="1" applyBorder="1" applyAlignment="1" applyProtection="1">
      <alignment horizontal="center" vertical="center" wrapText="1"/>
    </xf>
    <xf numFmtId="0" fontId="15" fillId="2" borderId="12" xfId="6" quotePrefix="1" applyFont="1" applyFill="1" applyBorder="1" applyAlignment="1" applyProtection="1">
      <alignment horizontal="center" vertical="center" wrapText="1"/>
    </xf>
    <xf numFmtId="0" fontId="15" fillId="2" borderId="5" xfId="6" applyFont="1" applyFill="1" applyBorder="1" applyAlignment="1" applyProtection="1">
      <alignment horizontal="center" vertical="center" wrapText="1"/>
    </xf>
    <xf numFmtId="0" fontId="15" fillId="2" borderId="6" xfId="6" applyFont="1" applyFill="1" applyBorder="1" applyAlignment="1" applyProtection="1">
      <alignment horizontal="center" vertical="center" wrapText="1"/>
    </xf>
    <xf numFmtId="0" fontId="15" fillId="2" borderId="3" xfId="6" applyFont="1" applyFill="1" applyBorder="1" applyAlignment="1" applyProtection="1">
      <alignment horizontal="center" vertical="center" wrapText="1"/>
    </xf>
    <xf numFmtId="167" fontId="16" fillId="2" borderId="5" xfId="4" quotePrefix="1" applyFont="1" applyFill="1" applyBorder="1" applyAlignment="1">
      <alignment horizontal="right"/>
    </xf>
    <xf numFmtId="167" fontId="16" fillId="2" borderId="6" xfId="4" quotePrefix="1" applyFont="1" applyFill="1" applyBorder="1" applyAlignment="1">
      <alignment horizontal="right"/>
    </xf>
    <xf numFmtId="167" fontId="16" fillId="2" borderId="3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119</v>
      </c>
      <c r="B1" s="5" t="s">
        <v>119</v>
      </c>
      <c r="C1" s="5" t="s">
        <v>119</v>
      </c>
      <c r="D1" s="5" t="s">
        <v>119</v>
      </c>
      <c r="E1" s="5" t="s">
        <v>119</v>
      </c>
      <c r="F1" s="5" t="s">
        <v>119</v>
      </c>
      <c r="G1" s="5" t="s">
        <v>119</v>
      </c>
      <c r="H1" s="5" t="s">
        <v>119</v>
      </c>
      <c r="I1" s="5" t="s">
        <v>119</v>
      </c>
      <c r="J1" s="5" t="s">
        <v>119</v>
      </c>
      <c r="K1" s="5" t="s">
        <v>119</v>
      </c>
      <c r="L1" s="5" t="s">
        <v>119</v>
      </c>
      <c r="M1" s="5" t="s">
        <v>119</v>
      </c>
      <c r="N1" s="5" t="s">
        <v>119</v>
      </c>
      <c r="O1" s="5" t="s">
        <v>119</v>
      </c>
      <c r="P1" s="5" t="s">
        <v>119</v>
      </c>
      <c r="Q1" s="5" t="s">
        <v>119</v>
      </c>
      <c r="R1" s="5" t="s">
        <v>119</v>
      </c>
      <c r="S1" s="5" t="s">
        <v>119</v>
      </c>
      <c r="T1" s="5" t="s">
        <v>119</v>
      </c>
      <c r="U1" s="5" t="s">
        <v>119</v>
      </c>
      <c r="V1" s="5" t="s">
        <v>119</v>
      </c>
      <c r="W1" s="5" t="s">
        <v>119</v>
      </c>
      <c r="X1" s="5" t="s">
        <v>119</v>
      </c>
      <c r="Y1" s="5" t="s">
        <v>119</v>
      </c>
      <c r="Z1" s="5" t="s">
        <v>119</v>
      </c>
      <c r="AA1" s="5" t="s">
        <v>119</v>
      </c>
      <c r="AB1" s="5" t="s">
        <v>119</v>
      </c>
      <c r="AC1" s="5" t="s">
        <v>119</v>
      </c>
      <c r="AD1" s="5" t="s">
        <v>119</v>
      </c>
      <c r="AE1" s="5" t="s">
        <v>119</v>
      </c>
      <c r="AF1" s="5" t="s">
        <v>119</v>
      </c>
      <c r="AG1" s="5" t="s">
        <v>119</v>
      </c>
      <c r="AH1" s="5" t="s">
        <v>119</v>
      </c>
      <c r="AI1" s="5" t="s">
        <v>119</v>
      </c>
      <c r="AJ1" s="5" t="s">
        <v>119</v>
      </c>
      <c r="AK1" s="5" t="s">
        <v>119</v>
      </c>
      <c r="AQ1" s="1" t="s">
        <v>54</v>
      </c>
      <c r="AR1" t="s">
        <v>44</v>
      </c>
    </row>
    <row r="2" spans="1:57" x14ac:dyDescent="0.2">
      <c r="A2" s="5" t="s">
        <v>119</v>
      </c>
      <c r="B2" s="22" t="e">
        <f>#REF!</f>
        <v>#REF!</v>
      </c>
      <c r="C2" s="5" t="s">
        <v>119</v>
      </c>
      <c r="D2" s="5" t="s">
        <v>119</v>
      </c>
      <c r="E2" s="5" t="s">
        <v>119</v>
      </c>
      <c r="F2" s="5" t="s">
        <v>119</v>
      </c>
      <c r="G2" s="5" t="s">
        <v>119</v>
      </c>
      <c r="H2" s="5" t="s">
        <v>119</v>
      </c>
      <c r="I2" s="5" t="s">
        <v>119</v>
      </c>
      <c r="J2" s="5" t="s">
        <v>119</v>
      </c>
      <c r="K2" s="5" t="s">
        <v>119</v>
      </c>
      <c r="L2" s="5" t="s">
        <v>119</v>
      </c>
      <c r="M2" s="5" t="s">
        <v>119</v>
      </c>
      <c r="N2" s="5" t="s">
        <v>119</v>
      </c>
      <c r="O2" s="5" t="s">
        <v>119</v>
      </c>
      <c r="P2" s="5" t="s">
        <v>119</v>
      </c>
      <c r="Q2" s="5" t="s">
        <v>119</v>
      </c>
      <c r="R2" s="5" t="s">
        <v>119</v>
      </c>
      <c r="S2" s="5" t="s">
        <v>119</v>
      </c>
      <c r="T2" s="5" t="s">
        <v>119</v>
      </c>
      <c r="U2" s="5" t="s">
        <v>119</v>
      </c>
      <c r="V2" s="5" t="s">
        <v>119</v>
      </c>
      <c r="W2" s="5" t="s">
        <v>119</v>
      </c>
      <c r="X2" s="5" t="s">
        <v>119</v>
      </c>
      <c r="Y2" s="5" t="s">
        <v>119</v>
      </c>
      <c r="Z2" s="5" t="s">
        <v>119</v>
      </c>
      <c r="AA2" s="5" t="s">
        <v>119</v>
      </c>
      <c r="AB2" s="5" t="s">
        <v>119</v>
      </c>
      <c r="AC2" s="5" t="s">
        <v>119</v>
      </c>
      <c r="AD2" s="5" t="s">
        <v>119</v>
      </c>
      <c r="AE2" s="5" t="s">
        <v>119</v>
      </c>
      <c r="AF2" s="5" t="s">
        <v>119</v>
      </c>
      <c r="AG2" s="5" t="s">
        <v>119</v>
      </c>
      <c r="AH2" s="5" t="s">
        <v>119</v>
      </c>
      <c r="AI2" s="5" t="s">
        <v>119</v>
      </c>
      <c r="AJ2" s="5" t="s">
        <v>119</v>
      </c>
      <c r="AK2" s="5" t="s">
        <v>119</v>
      </c>
    </row>
    <row r="3" spans="1:57" ht="15.75" customHeight="1" x14ac:dyDescent="0.2">
      <c r="A3" s="1" t="s">
        <v>65</v>
      </c>
      <c r="B3" t="s">
        <v>83</v>
      </c>
      <c r="C3" t="s">
        <v>85</v>
      </c>
      <c r="D3" t="s">
        <v>86</v>
      </c>
      <c r="E3" t="s">
        <v>87</v>
      </c>
      <c r="F3" t="s">
        <v>88</v>
      </c>
      <c r="G3" t="s">
        <v>89</v>
      </c>
      <c r="H3" t="s">
        <v>90</v>
      </c>
      <c r="I3" t="s">
        <v>91</v>
      </c>
      <c r="J3" t="s">
        <v>92</v>
      </c>
      <c r="K3" s="5" t="s">
        <v>119</v>
      </c>
      <c r="L3" s="5" t="s">
        <v>119</v>
      </c>
      <c r="M3" s="5" t="s">
        <v>119</v>
      </c>
      <c r="N3" s="5" t="s">
        <v>119</v>
      </c>
      <c r="O3" s="5" t="s">
        <v>119</v>
      </c>
      <c r="P3" s="5" t="s">
        <v>119</v>
      </c>
      <c r="Q3" s="5" t="s">
        <v>119</v>
      </c>
      <c r="R3" s="5" t="s">
        <v>119</v>
      </c>
      <c r="S3" s="5" t="s">
        <v>119</v>
      </c>
      <c r="T3" s="18" t="s">
        <v>119</v>
      </c>
      <c r="U3" s="1" t="s">
        <v>54</v>
      </c>
      <c r="V3" s="1" t="s">
        <v>55</v>
      </c>
      <c r="W3" s="1" t="s">
        <v>69</v>
      </c>
      <c r="X3" s="1" t="s">
        <v>70</v>
      </c>
      <c r="Y3" s="1" t="s">
        <v>71</v>
      </c>
      <c r="Z3" s="1" t="s">
        <v>72</v>
      </c>
      <c r="AA3" s="1" t="s">
        <v>56</v>
      </c>
      <c r="AB3" s="1" t="s">
        <v>57</v>
      </c>
      <c r="AC3" s="1" t="s">
        <v>58</v>
      </c>
      <c r="AD3" s="1" t="s">
        <v>73</v>
      </c>
      <c r="AE3" s="1" t="s">
        <v>74</v>
      </c>
      <c r="AF3" s="1" t="s">
        <v>75</v>
      </c>
      <c r="AG3" s="1" t="s">
        <v>76</v>
      </c>
      <c r="AH3" s="1" t="s">
        <v>77</v>
      </c>
      <c r="AI3" s="1" t="s">
        <v>78</v>
      </c>
      <c r="AJ3" s="1" t="s">
        <v>79</v>
      </c>
      <c r="AK3" s="1" t="s">
        <v>80</v>
      </c>
      <c r="AQ3" s="1" t="s">
        <v>55</v>
      </c>
      <c r="AR3" s="1" t="s">
        <v>69</v>
      </c>
      <c r="AS3" s="1" t="s">
        <v>70</v>
      </c>
      <c r="AT3" s="1" t="s">
        <v>71</v>
      </c>
      <c r="AU3" s="1" t="s">
        <v>72</v>
      </c>
      <c r="AV3" s="1" t="s">
        <v>56</v>
      </c>
      <c r="AW3" s="1" t="s">
        <v>57</v>
      </c>
      <c r="AX3" s="1" t="s">
        <v>58</v>
      </c>
      <c r="AY3" s="1" t="s">
        <v>73</v>
      </c>
      <c r="AZ3" s="1" t="s">
        <v>74</v>
      </c>
      <c r="BA3" s="1" t="s">
        <v>76</v>
      </c>
      <c r="BB3" s="1" t="s">
        <v>77</v>
      </c>
      <c r="BC3" s="1" t="s">
        <v>78</v>
      </c>
      <c r="BD3" s="1" t="s">
        <v>80</v>
      </c>
    </row>
    <row r="4" spans="1:57" ht="15.75" customHeight="1" x14ac:dyDescent="0.2">
      <c r="A4" s="2" t="s">
        <v>38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38</v>
      </c>
      <c r="V4" t="s">
        <v>39</v>
      </c>
      <c r="W4">
        <v>131</v>
      </c>
      <c r="X4">
        <v>25</v>
      </c>
      <c r="Y4">
        <v>3</v>
      </c>
      <c r="Z4">
        <v>153</v>
      </c>
      <c r="AA4" t="s">
        <v>191</v>
      </c>
      <c r="AB4">
        <v>14.9</v>
      </c>
      <c r="AC4">
        <v>74.599999999999994</v>
      </c>
      <c r="AD4">
        <v>345282</v>
      </c>
      <c r="AE4">
        <v>0</v>
      </c>
      <c r="AF4" t="s">
        <v>120</v>
      </c>
      <c r="AG4">
        <v>345282</v>
      </c>
      <c r="AH4">
        <v>650631</v>
      </c>
      <c r="AI4">
        <v>0</v>
      </c>
      <c r="AJ4" t="s">
        <v>120</v>
      </c>
      <c r="AK4">
        <v>650631</v>
      </c>
      <c r="AQ4" t="s">
        <v>189</v>
      </c>
      <c r="AR4">
        <v>18</v>
      </c>
      <c r="AS4">
        <v>1</v>
      </c>
      <c r="AT4">
        <v>0</v>
      </c>
      <c r="AU4">
        <v>19</v>
      </c>
      <c r="AV4" t="s">
        <v>191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66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38</v>
      </c>
      <c r="V5" t="s">
        <v>197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120</v>
      </c>
      <c r="AG5">
        <v>2358</v>
      </c>
      <c r="AH5">
        <v>3408</v>
      </c>
      <c r="AI5">
        <v>0</v>
      </c>
      <c r="AJ5" t="s">
        <v>120</v>
      </c>
      <c r="AK5">
        <v>3408</v>
      </c>
      <c r="AQ5" t="s">
        <v>190</v>
      </c>
      <c r="AR5">
        <v>5</v>
      </c>
      <c r="AS5">
        <v>8</v>
      </c>
      <c r="AT5">
        <v>0</v>
      </c>
      <c r="AU5">
        <v>13</v>
      </c>
      <c r="AV5" t="s">
        <v>66</v>
      </c>
      <c r="AW5" t="s">
        <v>66</v>
      </c>
      <c r="AX5" t="s">
        <v>66</v>
      </c>
      <c r="AY5" t="s">
        <v>66</v>
      </c>
      <c r="AZ5" t="s">
        <v>120</v>
      </c>
      <c r="BA5" t="s">
        <v>66</v>
      </c>
      <c r="BB5" t="s">
        <v>66</v>
      </c>
      <c r="BC5" t="s">
        <v>120</v>
      </c>
      <c r="BD5" t="s">
        <v>66</v>
      </c>
      <c r="BE5" s="20"/>
    </row>
    <row r="6" spans="1:57" x14ac:dyDescent="0.2">
      <c r="A6" s="2" t="s">
        <v>44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66</v>
      </c>
      <c r="V6" t="s">
        <v>66</v>
      </c>
      <c r="W6" t="s">
        <v>66</v>
      </c>
      <c r="X6" t="s">
        <v>66</v>
      </c>
      <c r="Y6" t="s">
        <v>66</v>
      </c>
      <c r="Z6" t="s">
        <v>66</v>
      </c>
      <c r="AA6" t="s">
        <v>66</v>
      </c>
      <c r="AB6" t="s">
        <v>66</v>
      </c>
      <c r="AC6" t="s">
        <v>66</v>
      </c>
      <c r="AD6" t="s">
        <v>66</v>
      </c>
      <c r="AE6" t="s">
        <v>120</v>
      </c>
      <c r="AF6" t="s">
        <v>120</v>
      </c>
      <c r="AG6" t="s">
        <v>66</v>
      </c>
      <c r="AH6" t="s">
        <v>66</v>
      </c>
      <c r="AI6" t="s">
        <v>120</v>
      </c>
      <c r="AJ6" t="s">
        <v>120</v>
      </c>
      <c r="AK6" t="s">
        <v>66</v>
      </c>
      <c r="BE6" s="20"/>
    </row>
    <row r="7" spans="1:57" x14ac:dyDescent="0.2">
      <c r="A7" s="2" t="s">
        <v>41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44</v>
      </c>
      <c r="V7" t="s">
        <v>189</v>
      </c>
      <c r="W7">
        <v>18</v>
      </c>
      <c r="X7">
        <v>1</v>
      </c>
      <c r="Y7">
        <v>0</v>
      </c>
      <c r="Z7">
        <v>19</v>
      </c>
      <c r="AA7" t="s">
        <v>191</v>
      </c>
      <c r="AB7">
        <v>12.2</v>
      </c>
      <c r="AC7">
        <v>73.5</v>
      </c>
      <c r="AD7">
        <v>69136</v>
      </c>
      <c r="AE7">
        <v>4</v>
      </c>
      <c r="AF7" t="s">
        <v>120</v>
      </c>
      <c r="AG7">
        <v>69140</v>
      </c>
      <c r="AH7">
        <v>128085.05</v>
      </c>
      <c r="AI7">
        <v>6.4</v>
      </c>
      <c r="AJ7" t="s">
        <v>120</v>
      </c>
      <c r="AK7">
        <v>128091.45</v>
      </c>
    </row>
    <row r="8" spans="1:57" x14ac:dyDescent="0.2">
      <c r="A8" s="2" t="s">
        <v>42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44</v>
      </c>
      <c r="V8" t="s">
        <v>190</v>
      </c>
      <c r="W8">
        <v>5</v>
      </c>
      <c r="X8">
        <v>8</v>
      </c>
      <c r="Y8">
        <v>0</v>
      </c>
      <c r="Z8">
        <v>13</v>
      </c>
      <c r="AA8" t="s">
        <v>66</v>
      </c>
      <c r="AB8" t="s">
        <v>66</v>
      </c>
      <c r="AC8" t="s">
        <v>66</v>
      </c>
      <c r="AD8" t="s">
        <v>66</v>
      </c>
      <c r="AE8" t="s">
        <v>120</v>
      </c>
      <c r="AF8" t="s">
        <v>120</v>
      </c>
      <c r="AG8" t="s">
        <v>66</v>
      </c>
      <c r="AH8" t="s">
        <v>66</v>
      </c>
      <c r="AI8" t="s">
        <v>120</v>
      </c>
      <c r="AJ8" t="s">
        <v>120</v>
      </c>
      <c r="AK8" t="s">
        <v>66</v>
      </c>
    </row>
    <row r="9" spans="1:57" x14ac:dyDescent="0.2">
      <c r="A9" s="2" t="s">
        <v>43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41</v>
      </c>
      <c r="V9" t="s">
        <v>161</v>
      </c>
      <c r="W9">
        <v>5</v>
      </c>
      <c r="X9" t="s">
        <v>66</v>
      </c>
      <c r="Y9" t="s">
        <v>66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120</v>
      </c>
      <c r="AF9" t="s">
        <v>120</v>
      </c>
      <c r="AG9">
        <v>982</v>
      </c>
      <c r="AH9">
        <v>4010</v>
      </c>
      <c r="AI9" t="s">
        <v>120</v>
      </c>
      <c r="AJ9" t="s">
        <v>120</v>
      </c>
      <c r="AK9">
        <v>4010</v>
      </c>
    </row>
    <row r="10" spans="1:57" x14ac:dyDescent="0.2">
      <c r="A10" s="2" t="s">
        <v>47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41</v>
      </c>
      <c r="V10" t="s">
        <v>162</v>
      </c>
      <c r="W10">
        <v>3</v>
      </c>
      <c r="X10" t="s">
        <v>66</v>
      </c>
      <c r="Y10" t="s">
        <v>66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120</v>
      </c>
      <c r="AF10" t="s">
        <v>120</v>
      </c>
      <c r="AG10">
        <v>1174</v>
      </c>
      <c r="AH10">
        <v>12787</v>
      </c>
      <c r="AI10" t="s">
        <v>120</v>
      </c>
      <c r="AJ10" t="s">
        <v>120</v>
      </c>
      <c r="AK10">
        <v>12787</v>
      </c>
    </row>
    <row r="11" spans="1:57" x14ac:dyDescent="0.2">
      <c r="A11" s="2" t="s">
        <v>49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41</v>
      </c>
      <c r="V11" t="s">
        <v>163</v>
      </c>
      <c r="W11">
        <v>12</v>
      </c>
      <c r="X11">
        <v>3</v>
      </c>
      <c r="Y11" t="s">
        <v>66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120</v>
      </c>
      <c r="AF11" t="s">
        <v>120</v>
      </c>
      <c r="AG11">
        <v>6359</v>
      </c>
      <c r="AH11">
        <v>48138</v>
      </c>
      <c r="AI11" t="s">
        <v>120</v>
      </c>
      <c r="AJ11" t="s">
        <v>120</v>
      </c>
      <c r="AK11">
        <v>48138</v>
      </c>
    </row>
    <row r="12" spans="1:57" x14ac:dyDescent="0.2">
      <c r="A12" s="2" t="s">
        <v>50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41</v>
      </c>
      <c r="V12" t="s">
        <v>164</v>
      </c>
      <c r="W12">
        <v>23</v>
      </c>
      <c r="X12">
        <v>4</v>
      </c>
      <c r="Y12" t="s">
        <v>66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120</v>
      </c>
      <c r="AG12">
        <v>20842</v>
      </c>
      <c r="AH12">
        <v>114151</v>
      </c>
      <c r="AI12">
        <v>9</v>
      </c>
      <c r="AJ12" t="s">
        <v>120</v>
      </c>
      <c r="AK12">
        <v>114160</v>
      </c>
    </row>
    <row r="13" spans="1:57" x14ac:dyDescent="0.2">
      <c r="A13" s="2" t="s">
        <v>194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41</v>
      </c>
      <c r="V13" t="s">
        <v>165</v>
      </c>
      <c r="W13">
        <v>22</v>
      </c>
      <c r="X13" t="s">
        <v>66</v>
      </c>
      <c r="Y13" t="s">
        <v>66</v>
      </c>
      <c r="Z13">
        <v>22</v>
      </c>
      <c r="AA13" t="s">
        <v>178</v>
      </c>
      <c r="AB13">
        <v>13.18</v>
      </c>
      <c r="AC13">
        <v>70</v>
      </c>
      <c r="AD13">
        <v>44988</v>
      </c>
      <c r="AE13">
        <v>1108</v>
      </c>
      <c r="AF13" t="s">
        <v>120</v>
      </c>
      <c r="AG13">
        <v>46096</v>
      </c>
      <c r="AH13">
        <v>78890</v>
      </c>
      <c r="AI13">
        <v>1482</v>
      </c>
      <c r="AJ13" t="s">
        <v>120</v>
      </c>
      <c r="AK13">
        <v>80373</v>
      </c>
    </row>
    <row r="14" spans="1:57" x14ac:dyDescent="0.2">
      <c r="A14" s="2" t="s">
        <v>53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41</v>
      </c>
      <c r="V14" t="s">
        <v>166</v>
      </c>
      <c r="W14">
        <v>18</v>
      </c>
      <c r="X14">
        <v>14</v>
      </c>
      <c r="Y14">
        <v>3</v>
      </c>
      <c r="Z14">
        <v>29</v>
      </c>
      <c r="AA14" t="s">
        <v>179</v>
      </c>
      <c r="AB14">
        <v>15.66</v>
      </c>
      <c r="AC14">
        <v>76</v>
      </c>
      <c r="AD14">
        <v>39842</v>
      </c>
      <c r="AE14">
        <v>724</v>
      </c>
      <c r="AF14" t="s">
        <v>120</v>
      </c>
      <c r="AG14">
        <v>40566</v>
      </c>
      <c r="AH14">
        <v>89132</v>
      </c>
      <c r="AI14">
        <v>982</v>
      </c>
      <c r="AJ14" t="s">
        <v>120</v>
      </c>
      <c r="AK14">
        <v>90115</v>
      </c>
    </row>
    <row r="15" spans="1:57" x14ac:dyDescent="0.2">
      <c r="A15" s="2" t="s">
        <v>62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41</v>
      </c>
      <c r="V15" t="s">
        <v>167</v>
      </c>
      <c r="W15">
        <v>20</v>
      </c>
      <c r="X15" t="s">
        <v>66</v>
      </c>
      <c r="Y15" t="s">
        <v>66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120</v>
      </c>
      <c r="AG15">
        <v>39324</v>
      </c>
      <c r="AH15">
        <v>85103</v>
      </c>
      <c r="AI15">
        <v>20</v>
      </c>
      <c r="AJ15" t="s">
        <v>120</v>
      </c>
      <c r="AK15">
        <v>85123</v>
      </c>
    </row>
    <row r="16" spans="1:57" x14ac:dyDescent="0.2">
      <c r="A16" s="2" t="s">
        <v>63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42</v>
      </c>
      <c r="V16" t="s">
        <v>150</v>
      </c>
      <c r="W16">
        <v>23</v>
      </c>
      <c r="X16">
        <v>0</v>
      </c>
      <c r="Y16">
        <v>0</v>
      </c>
      <c r="Z16">
        <v>23</v>
      </c>
      <c r="AA16" t="s">
        <v>180</v>
      </c>
      <c r="AB16">
        <v>14.96</v>
      </c>
      <c r="AC16">
        <v>79.02</v>
      </c>
      <c r="AD16">
        <v>28850</v>
      </c>
      <c r="AE16" t="s">
        <v>120</v>
      </c>
      <c r="AF16" t="s">
        <v>120</v>
      </c>
      <c r="AG16">
        <v>28850</v>
      </c>
      <c r="AH16">
        <v>105697</v>
      </c>
      <c r="AI16" t="s">
        <v>120</v>
      </c>
      <c r="AJ16" t="s">
        <v>120</v>
      </c>
      <c r="AK16">
        <v>105697</v>
      </c>
    </row>
    <row r="17" spans="1:37" x14ac:dyDescent="0.2">
      <c r="A17" s="2" t="s">
        <v>64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43</v>
      </c>
      <c r="V17" t="s">
        <v>143</v>
      </c>
      <c r="W17" t="s">
        <v>66</v>
      </c>
      <c r="X17" t="s">
        <v>66</v>
      </c>
      <c r="Y17" t="s">
        <v>66</v>
      </c>
      <c r="Z17" t="s">
        <v>66</v>
      </c>
      <c r="AA17" t="s">
        <v>66</v>
      </c>
      <c r="AB17" t="s">
        <v>66</v>
      </c>
      <c r="AC17" t="s">
        <v>66</v>
      </c>
      <c r="AD17" t="s">
        <v>66</v>
      </c>
      <c r="AE17" t="s">
        <v>120</v>
      </c>
      <c r="AF17" t="s">
        <v>120</v>
      </c>
      <c r="AG17" t="s">
        <v>66</v>
      </c>
      <c r="AH17" t="s">
        <v>66</v>
      </c>
      <c r="AI17" t="s">
        <v>120</v>
      </c>
      <c r="AJ17" t="s">
        <v>120</v>
      </c>
      <c r="AK17" t="s">
        <v>66</v>
      </c>
    </row>
    <row r="18" spans="1:37" x14ac:dyDescent="0.2">
      <c r="A18" s="2" t="s">
        <v>202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43</v>
      </c>
      <c r="V18" t="s">
        <v>144</v>
      </c>
      <c r="W18" t="s">
        <v>66</v>
      </c>
      <c r="X18" t="s">
        <v>66</v>
      </c>
      <c r="Y18" t="s">
        <v>66</v>
      </c>
      <c r="Z18" t="s">
        <v>66</v>
      </c>
      <c r="AA18" t="s">
        <v>66</v>
      </c>
      <c r="AB18" t="s">
        <v>66</v>
      </c>
      <c r="AC18" t="s">
        <v>66</v>
      </c>
      <c r="AD18" t="s">
        <v>66</v>
      </c>
      <c r="AE18" t="s">
        <v>120</v>
      </c>
      <c r="AF18" t="s">
        <v>120</v>
      </c>
      <c r="AG18" t="s">
        <v>66</v>
      </c>
      <c r="AH18" t="s">
        <v>66</v>
      </c>
      <c r="AI18" t="s">
        <v>120</v>
      </c>
      <c r="AJ18" t="s">
        <v>120</v>
      </c>
      <c r="AK18" t="s">
        <v>66</v>
      </c>
    </row>
    <row r="19" spans="1:37" x14ac:dyDescent="0.2">
      <c r="A19" s="2" t="s">
        <v>203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43</v>
      </c>
      <c r="V19" t="s">
        <v>145</v>
      </c>
      <c r="W19" t="s">
        <v>66</v>
      </c>
      <c r="X19" t="s">
        <v>66</v>
      </c>
      <c r="Y19" t="s">
        <v>66</v>
      </c>
      <c r="Z19" t="s">
        <v>66</v>
      </c>
      <c r="AA19" t="s">
        <v>66</v>
      </c>
      <c r="AB19" t="s">
        <v>66</v>
      </c>
      <c r="AC19" t="s">
        <v>66</v>
      </c>
      <c r="AD19" t="s">
        <v>66</v>
      </c>
      <c r="AE19" t="s">
        <v>120</v>
      </c>
      <c r="AF19" t="s">
        <v>120</v>
      </c>
      <c r="AG19" t="s">
        <v>66</v>
      </c>
      <c r="AH19" t="s">
        <v>66</v>
      </c>
      <c r="AI19" t="s">
        <v>120</v>
      </c>
      <c r="AJ19" t="s">
        <v>120</v>
      </c>
      <c r="AK19" t="s">
        <v>66</v>
      </c>
    </row>
    <row r="20" spans="1:37" x14ac:dyDescent="0.2">
      <c r="A20" s="2" t="s">
        <v>67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45</v>
      </c>
      <c r="V20" t="s">
        <v>151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120</v>
      </c>
      <c r="AG20">
        <v>5143</v>
      </c>
      <c r="AH20">
        <v>7842</v>
      </c>
      <c r="AI20">
        <v>437</v>
      </c>
      <c r="AJ20" t="s">
        <v>120</v>
      </c>
      <c r="AK20">
        <v>8279</v>
      </c>
    </row>
    <row r="21" spans="1:37" x14ac:dyDescent="0.2">
      <c r="T21" s="19" t="str">
        <f t="shared" si="0"/>
        <v>JET AIRWAYSB- 737 - 800</v>
      </c>
      <c r="U21" t="s">
        <v>45</v>
      </c>
      <c r="V21" t="s">
        <v>152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183</v>
      </c>
      <c r="AD21">
        <v>135957</v>
      </c>
      <c r="AE21">
        <v>828</v>
      </c>
      <c r="AF21" t="s">
        <v>120</v>
      </c>
      <c r="AG21">
        <v>136785</v>
      </c>
      <c r="AH21">
        <v>309764</v>
      </c>
      <c r="AI21">
        <v>1161</v>
      </c>
      <c r="AJ21" t="s">
        <v>120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45</v>
      </c>
      <c r="V22" t="s">
        <v>153</v>
      </c>
      <c r="W22">
        <v>6</v>
      </c>
      <c r="X22">
        <v>0</v>
      </c>
      <c r="Y22">
        <v>0</v>
      </c>
      <c r="Z22">
        <v>6</v>
      </c>
      <c r="AA22" t="s">
        <v>181</v>
      </c>
      <c r="AB22">
        <v>19</v>
      </c>
      <c r="AC22">
        <v>74.3</v>
      </c>
      <c r="AD22">
        <v>11060</v>
      </c>
      <c r="AE22">
        <v>2</v>
      </c>
      <c r="AF22" t="s">
        <v>120</v>
      </c>
      <c r="AG22">
        <v>11062</v>
      </c>
      <c r="AH22">
        <v>29406</v>
      </c>
      <c r="AI22">
        <v>1</v>
      </c>
      <c r="AJ22" t="s">
        <v>120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45</v>
      </c>
      <c r="V23" t="s">
        <v>154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120</v>
      </c>
      <c r="AG23">
        <v>43431</v>
      </c>
      <c r="AH23">
        <v>54266</v>
      </c>
      <c r="AI23">
        <v>26</v>
      </c>
      <c r="AJ23" t="s">
        <v>120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45</v>
      </c>
      <c r="V24" t="s">
        <v>155</v>
      </c>
      <c r="W24">
        <v>8</v>
      </c>
      <c r="X24">
        <v>0</v>
      </c>
      <c r="Y24">
        <v>0</v>
      </c>
      <c r="Z24">
        <v>8</v>
      </c>
      <c r="AA24" t="s">
        <v>182</v>
      </c>
      <c r="AB24">
        <v>43</v>
      </c>
      <c r="AC24">
        <v>233</v>
      </c>
      <c r="AD24">
        <v>8780</v>
      </c>
      <c r="AE24">
        <v>2</v>
      </c>
      <c r="AF24" t="s">
        <v>120</v>
      </c>
      <c r="AG24">
        <v>8782</v>
      </c>
      <c r="AH24">
        <v>39583</v>
      </c>
      <c r="AI24">
        <v>13</v>
      </c>
      <c r="AJ24" t="s">
        <v>120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45</v>
      </c>
      <c r="V25" t="s">
        <v>156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184</v>
      </c>
      <c r="AD25">
        <v>6761</v>
      </c>
      <c r="AE25">
        <v>0</v>
      </c>
      <c r="AF25" t="s">
        <v>120</v>
      </c>
      <c r="AG25">
        <v>6761</v>
      </c>
      <c r="AH25">
        <v>53165</v>
      </c>
      <c r="AI25">
        <v>0</v>
      </c>
      <c r="AJ25" t="s">
        <v>120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46</v>
      </c>
      <c r="V26" t="s">
        <v>157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120</v>
      </c>
      <c r="AG26">
        <v>9358</v>
      </c>
      <c r="AH26">
        <v>13833</v>
      </c>
      <c r="AI26">
        <v>7</v>
      </c>
      <c r="AJ26" t="s">
        <v>120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46</v>
      </c>
      <c r="V27" t="s">
        <v>158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120</v>
      </c>
      <c r="AG27">
        <v>12747</v>
      </c>
      <c r="AH27">
        <v>21900</v>
      </c>
      <c r="AI27">
        <v>17</v>
      </c>
      <c r="AJ27" t="s">
        <v>120</v>
      </c>
      <c r="AK27">
        <v>21917</v>
      </c>
    </row>
    <row r="28" spans="1:37" x14ac:dyDescent="0.2">
      <c r="T28" s="19" t="str">
        <f t="shared" si="0"/>
        <v>SPICEJET737 - 700</v>
      </c>
      <c r="U28" t="s">
        <v>47</v>
      </c>
      <c r="V28" t="s">
        <v>172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120</v>
      </c>
      <c r="AG28">
        <v>5303</v>
      </c>
      <c r="AH28">
        <v>6894.19</v>
      </c>
      <c r="AI28">
        <v>0</v>
      </c>
      <c r="AJ28" t="s">
        <v>120</v>
      </c>
      <c r="AK28">
        <v>6894.19</v>
      </c>
    </row>
    <row r="29" spans="1:37" x14ac:dyDescent="0.2">
      <c r="T29" s="19" t="str">
        <f t="shared" si="0"/>
        <v>SPICEJET737 - 800</v>
      </c>
      <c r="U29" t="s">
        <v>47</v>
      </c>
      <c r="V29" t="s">
        <v>173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120</v>
      </c>
      <c r="AG29">
        <v>67010</v>
      </c>
      <c r="AH29">
        <v>1177648.18</v>
      </c>
      <c r="AI29">
        <v>9</v>
      </c>
      <c r="AJ29" t="s">
        <v>120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47</v>
      </c>
      <c r="V30" t="s">
        <v>174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120</v>
      </c>
      <c r="AG30">
        <v>9373</v>
      </c>
      <c r="AH30">
        <v>15278.56</v>
      </c>
      <c r="AI30">
        <v>0</v>
      </c>
      <c r="AJ30" t="s">
        <v>120</v>
      </c>
      <c r="AK30">
        <v>15278.56</v>
      </c>
    </row>
    <row r="31" spans="1:37" x14ac:dyDescent="0.2">
      <c r="T31" s="19" t="str">
        <f t="shared" si="0"/>
        <v>SPICEJETDH8</v>
      </c>
      <c r="U31" t="s">
        <v>47</v>
      </c>
      <c r="V31" t="s">
        <v>175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120</v>
      </c>
      <c r="AG31">
        <v>56632</v>
      </c>
      <c r="AH31">
        <v>57909.02</v>
      </c>
      <c r="AI31">
        <v>2.27</v>
      </c>
      <c r="AJ31" t="s">
        <v>120</v>
      </c>
      <c r="AK31">
        <v>57911.29</v>
      </c>
    </row>
    <row r="32" spans="1:37" x14ac:dyDescent="0.2">
      <c r="T32" s="19" t="str">
        <f t="shared" si="0"/>
        <v>SPICEJETA319</v>
      </c>
      <c r="U32" t="s">
        <v>47</v>
      </c>
      <c r="V32" t="s">
        <v>176</v>
      </c>
      <c r="W32" t="s">
        <v>66</v>
      </c>
      <c r="X32" t="s">
        <v>66</v>
      </c>
      <c r="Y32" t="s">
        <v>66</v>
      </c>
      <c r="Z32" t="s">
        <v>66</v>
      </c>
      <c r="AA32" t="s">
        <v>66</v>
      </c>
      <c r="AB32" t="s">
        <v>66</v>
      </c>
      <c r="AC32" t="s">
        <v>66</v>
      </c>
      <c r="AD32" t="s">
        <v>66</v>
      </c>
      <c r="AE32" t="s">
        <v>120</v>
      </c>
      <c r="AF32" t="s">
        <v>120</v>
      </c>
      <c r="AG32" t="s">
        <v>66</v>
      </c>
      <c r="AH32" t="s">
        <v>66</v>
      </c>
      <c r="AI32" t="s">
        <v>120</v>
      </c>
      <c r="AJ32" t="s">
        <v>120</v>
      </c>
      <c r="AK32" t="s">
        <v>66</v>
      </c>
    </row>
    <row r="33" spans="20:37" x14ac:dyDescent="0.2">
      <c r="T33" s="19" t="str">
        <f t="shared" si="0"/>
        <v>SPICEJETA 320</v>
      </c>
      <c r="U33" t="s">
        <v>47</v>
      </c>
      <c r="V33" t="s">
        <v>177</v>
      </c>
      <c r="W33" t="s">
        <v>66</v>
      </c>
      <c r="X33" t="s">
        <v>66</v>
      </c>
      <c r="Y33" t="s">
        <v>66</v>
      </c>
      <c r="Z33" t="s">
        <v>66</v>
      </c>
      <c r="AA33" t="s">
        <v>66</v>
      </c>
      <c r="AB33" t="s">
        <v>66</v>
      </c>
      <c r="AC33" t="s">
        <v>66</v>
      </c>
      <c r="AD33" t="s">
        <v>66</v>
      </c>
      <c r="AE33" t="s">
        <v>120</v>
      </c>
      <c r="AF33" t="s">
        <v>120</v>
      </c>
      <c r="AG33" t="s">
        <v>66</v>
      </c>
      <c r="AH33" t="s">
        <v>66</v>
      </c>
      <c r="AI33" t="s">
        <v>120</v>
      </c>
      <c r="AJ33" t="s">
        <v>120</v>
      </c>
      <c r="AK33" t="s">
        <v>66</v>
      </c>
    </row>
    <row r="34" spans="20:37" x14ac:dyDescent="0.2">
      <c r="T34" s="19" t="str">
        <f t="shared" si="0"/>
        <v>AIR COSTA(blank)</v>
      </c>
      <c r="U34" t="s">
        <v>48</v>
      </c>
      <c r="V34" t="s">
        <v>66</v>
      </c>
      <c r="W34" t="s">
        <v>66</v>
      </c>
      <c r="X34" t="s">
        <v>66</v>
      </c>
      <c r="Y34" t="s">
        <v>66</v>
      </c>
      <c r="Z34" t="s">
        <v>66</v>
      </c>
      <c r="AA34" t="s">
        <v>66</v>
      </c>
      <c r="AB34" t="s">
        <v>66</v>
      </c>
      <c r="AC34" t="s">
        <v>66</v>
      </c>
      <c r="AD34" t="s">
        <v>66</v>
      </c>
      <c r="AE34" t="s">
        <v>120</v>
      </c>
      <c r="AF34" t="s">
        <v>120</v>
      </c>
      <c r="AG34" t="s">
        <v>66</v>
      </c>
      <c r="AH34" t="s">
        <v>66</v>
      </c>
      <c r="AI34" t="s">
        <v>120</v>
      </c>
      <c r="AJ34" t="s">
        <v>120</v>
      </c>
      <c r="AK34" t="s">
        <v>66</v>
      </c>
    </row>
    <row r="35" spans="20:37" x14ac:dyDescent="0.2">
      <c r="T35" s="19" t="str">
        <f t="shared" si="0"/>
        <v>AIR ASIAAIRBUS A320</v>
      </c>
      <c r="U35" t="s">
        <v>49</v>
      </c>
      <c r="V35" t="s">
        <v>146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120</v>
      </c>
      <c r="AG35">
        <v>33127</v>
      </c>
      <c r="AH35">
        <v>47179</v>
      </c>
      <c r="AI35">
        <v>171</v>
      </c>
      <c r="AJ35" t="s">
        <v>120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50</v>
      </c>
      <c r="V36" t="s">
        <v>159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120</v>
      </c>
      <c r="AG36">
        <v>28216</v>
      </c>
      <c r="AH36">
        <v>47697.52</v>
      </c>
      <c r="AI36">
        <v>34</v>
      </c>
      <c r="AJ36" t="s">
        <v>120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50</v>
      </c>
      <c r="V37" t="s">
        <v>159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120</v>
      </c>
      <c r="AG37">
        <v>4829</v>
      </c>
      <c r="AH37">
        <v>9358</v>
      </c>
      <c r="AI37">
        <v>48</v>
      </c>
      <c r="AJ37" t="s">
        <v>120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194</v>
      </c>
      <c r="V38" t="s">
        <v>147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120</v>
      </c>
      <c r="AG38">
        <v>6148</v>
      </c>
      <c r="AH38">
        <v>8329</v>
      </c>
      <c r="AI38">
        <v>121</v>
      </c>
      <c r="AJ38" t="s">
        <v>120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194</v>
      </c>
      <c r="V39" t="s">
        <v>195</v>
      </c>
      <c r="W39">
        <v>6</v>
      </c>
      <c r="X39">
        <v>0</v>
      </c>
      <c r="Y39">
        <v>0</v>
      </c>
      <c r="Z39">
        <v>6</v>
      </c>
      <c r="AA39" t="s">
        <v>66</v>
      </c>
      <c r="AB39">
        <v>36</v>
      </c>
      <c r="AC39">
        <v>109</v>
      </c>
      <c r="AD39">
        <v>6023</v>
      </c>
      <c r="AE39">
        <v>125</v>
      </c>
      <c r="AF39" t="s">
        <v>120</v>
      </c>
      <c r="AG39">
        <v>6148</v>
      </c>
      <c r="AH39">
        <v>8329</v>
      </c>
      <c r="AI39">
        <v>121</v>
      </c>
      <c r="AJ39" t="s">
        <v>120</v>
      </c>
      <c r="AK39">
        <v>8450</v>
      </c>
    </row>
    <row r="40" spans="20:37" x14ac:dyDescent="0.2">
      <c r="T40" s="19" t="str">
        <f t="shared" si="0"/>
        <v>AIR PEGASUS(blank)</v>
      </c>
      <c r="U40" t="s">
        <v>52</v>
      </c>
      <c r="V40" t="s">
        <v>66</v>
      </c>
      <c r="W40" t="s">
        <v>66</v>
      </c>
      <c r="X40" t="s">
        <v>66</v>
      </c>
      <c r="Y40" t="s">
        <v>66</v>
      </c>
      <c r="Z40" t="s">
        <v>66</v>
      </c>
      <c r="AA40" t="s">
        <v>66</v>
      </c>
      <c r="AB40" t="s">
        <v>66</v>
      </c>
      <c r="AC40" t="s">
        <v>66</v>
      </c>
      <c r="AD40" t="s">
        <v>66</v>
      </c>
      <c r="AE40" t="s">
        <v>120</v>
      </c>
      <c r="AF40" t="s">
        <v>120</v>
      </c>
      <c r="AG40" t="s">
        <v>66</v>
      </c>
      <c r="AH40" t="s">
        <v>66</v>
      </c>
      <c r="AI40" t="s">
        <v>120</v>
      </c>
      <c r="AJ40" t="s">
        <v>120</v>
      </c>
      <c r="AK40" t="s">
        <v>66</v>
      </c>
    </row>
    <row r="41" spans="20:37" x14ac:dyDescent="0.2">
      <c r="T41" s="19" t="str">
        <f t="shared" si="0"/>
        <v>TRUEJETATR 72-212 A / VT-TMK</v>
      </c>
      <c r="U41" t="s">
        <v>53</v>
      </c>
      <c r="V41" t="s">
        <v>168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120</v>
      </c>
      <c r="AG41">
        <v>1794</v>
      </c>
      <c r="AH41">
        <v>2396.56</v>
      </c>
      <c r="AI41" t="s">
        <v>120</v>
      </c>
      <c r="AJ41" t="s">
        <v>120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53</v>
      </c>
      <c r="V42" t="s">
        <v>169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120</v>
      </c>
      <c r="AF42" t="s">
        <v>120</v>
      </c>
      <c r="AG42">
        <v>2212</v>
      </c>
      <c r="AH42">
        <v>2957.33</v>
      </c>
      <c r="AI42" t="s">
        <v>120</v>
      </c>
      <c r="AJ42" t="s">
        <v>120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53</v>
      </c>
      <c r="V43" t="s">
        <v>170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120</v>
      </c>
      <c r="AF43" t="s">
        <v>120</v>
      </c>
      <c r="AG43">
        <v>2546</v>
      </c>
      <c r="AH43">
        <v>3312.12</v>
      </c>
      <c r="AI43" t="s">
        <v>120</v>
      </c>
      <c r="AJ43" t="s">
        <v>120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53</v>
      </c>
      <c r="V44" t="s">
        <v>171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120</v>
      </c>
      <c r="AF44" t="s">
        <v>120</v>
      </c>
      <c r="AG44">
        <v>2374</v>
      </c>
      <c r="AH44">
        <v>3040.53</v>
      </c>
      <c r="AI44" t="s">
        <v>120</v>
      </c>
      <c r="AJ44" t="s">
        <v>120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62</v>
      </c>
      <c r="V45" t="s">
        <v>66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63</v>
      </c>
      <c r="V46" t="s">
        <v>66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64</v>
      </c>
      <c r="V47" t="s">
        <v>66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148</v>
      </c>
      <c r="V48" t="s">
        <v>66</v>
      </c>
      <c r="W48" t="s">
        <v>66</v>
      </c>
      <c r="X48" t="s">
        <v>66</v>
      </c>
      <c r="Y48" t="s">
        <v>66</v>
      </c>
      <c r="Z48" t="s">
        <v>66</v>
      </c>
      <c r="AA48" t="s">
        <v>66</v>
      </c>
      <c r="AB48" t="s">
        <v>66</v>
      </c>
      <c r="AC48" t="s">
        <v>66</v>
      </c>
      <c r="AD48" t="s">
        <v>66</v>
      </c>
      <c r="AE48" t="s">
        <v>120</v>
      </c>
      <c r="AF48" t="s">
        <v>120</v>
      </c>
      <c r="AG48" t="s">
        <v>66</v>
      </c>
      <c r="AH48" t="s">
        <v>66</v>
      </c>
      <c r="AI48" t="s">
        <v>120</v>
      </c>
      <c r="AJ48" t="s">
        <v>120</v>
      </c>
      <c r="AK48" t="s">
        <v>66</v>
      </c>
    </row>
    <row r="49" spans="20:37" x14ac:dyDescent="0.2">
      <c r="T49" s="19" t="str">
        <f t="shared" si="0"/>
        <v>ZOOM AIRBOMBADIER CRJ200LR ,MSN-7809, VT-ZOA</v>
      </c>
      <c r="U49" t="s">
        <v>149</v>
      </c>
      <c r="V49" t="s">
        <v>185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120</v>
      </c>
      <c r="AG49">
        <v>748</v>
      </c>
      <c r="AH49">
        <v>873</v>
      </c>
      <c r="AI49">
        <v>38</v>
      </c>
      <c r="AJ49" t="s">
        <v>120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149</v>
      </c>
      <c r="V50" t="s">
        <v>186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120</v>
      </c>
      <c r="AG50">
        <v>153</v>
      </c>
      <c r="AH50">
        <v>137</v>
      </c>
      <c r="AI50">
        <v>28</v>
      </c>
      <c r="AJ50" t="s">
        <v>120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149</v>
      </c>
      <c r="V51" t="s">
        <v>187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120</v>
      </c>
      <c r="AG51">
        <v>0</v>
      </c>
      <c r="AH51">
        <v>0</v>
      </c>
      <c r="AI51">
        <v>0</v>
      </c>
      <c r="AJ51" t="s">
        <v>120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149</v>
      </c>
      <c r="V52" t="s">
        <v>187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120</v>
      </c>
      <c r="AG52">
        <v>295</v>
      </c>
      <c r="AH52">
        <v>329</v>
      </c>
      <c r="AI52">
        <v>34</v>
      </c>
      <c r="AJ52" t="s">
        <v>120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149</v>
      </c>
      <c r="V53" t="s">
        <v>188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120</v>
      </c>
      <c r="AG53">
        <v>0</v>
      </c>
      <c r="AH53">
        <v>0</v>
      </c>
      <c r="AI53">
        <v>0</v>
      </c>
      <c r="AJ53" t="s">
        <v>120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192</v>
      </c>
      <c r="V54" t="s">
        <v>199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120</v>
      </c>
      <c r="AG54">
        <v>564</v>
      </c>
      <c r="AH54">
        <v>0</v>
      </c>
      <c r="AI54">
        <v>641.45000000000005</v>
      </c>
      <c r="AJ54" t="s">
        <v>120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192</v>
      </c>
      <c r="V55" t="s">
        <v>200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120</v>
      </c>
      <c r="AG55">
        <v>44</v>
      </c>
      <c r="AH55">
        <v>20.37</v>
      </c>
      <c r="AI55">
        <v>0</v>
      </c>
      <c r="AJ55" t="s">
        <v>120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193</v>
      </c>
      <c r="V56" t="s">
        <v>200</v>
      </c>
      <c r="W56">
        <v>0</v>
      </c>
      <c r="X56">
        <v>3</v>
      </c>
      <c r="Y56">
        <v>0</v>
      </c>
      <c r="Z56">
        <v>3</v>
      </c>
      <c r="AA56" t="s">
        <v>196</v>
      </c>
      <c r="AB56">
        <v>0</v>
      </c>
      <c r="AC56">
        <v>0</v>
      </c>
      <c r="AD56">
        <v>267</v>
      </c>
      <c r="AE56">
        <v>0</v>
      </c>
      <c r="AF56" t="s">
        <v>120</v>
      </c>
      <c r="AG56">
        <v>267</v>
      </c>
      <c r="AH56">
        <v>299</v>
      </c>
      <c r="AI56">
        <v>0</v>
      </c>
      <c r="AJ56" t="s">
        <v>120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65</v>
      </c>
      <c r="B3" t="s">
        <v>84</v>
      </c>
      <c r="C3" t="s">
        <v>94</v>
      </c>
      <c r="V3" s="4" t="s">
        <v>95</v>
      </c>
      <c r="W3" s="1" t="s">
        <v>59</v>
      </c>
      <c r="X3" s="1" t="s">
        <v>81</v>
      </c>
      <c r="Y3" t="s">
        <v>93</v>
      </c>
      <c r="Z3" t="s">
        <v>84</v>
      </c>
      <c r="AA3" t="s">
        <v>94</v>
      </c>
    </row>
    <row r="4" spans="1:27" x14ac:dyDescent="0.2">
      <c r="A4" s="2" t="s">
        <v>49</v>
      </c>
      <c r="B4" s="3">
        <v>2467</v>
      </c>
      <c r="C4" s="3">
        <v>3806.1423290000002</v>
      </c>
      <c r="V4" t="str">
        <f>W4&amp;X4</f>
        <v>AIR ASIAP1</v>
      </c>
      <c r="W4" t="s">
        <v>49</v>
      </c>
      <c r="X4" t="s">
        <v>3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41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49</v>
      </c>
      <c r="X5" t="s">
        <v>4</v>
      </c>
      <c r="Y5" s="3"/>
      <c r="Z5" s="3"/>
      <c r="AA5" s="3"/>
    </row>
    <row r="6" spans="1:27" x14ac:dyDescent="0.2">
      <c r="A6" s="2" t="s">
        <v>42</v>
      </c>
      <c r="B6" s="3">
        <v>1472</v>
      </c>
      <c r="C6" s="3">
        <v>2956.1</v>
      </c>
      <c r="V6" t="str">
        <f t="shared" si="0"/>
        <v>AIR ASIAP3</v>
      </c>
      <c r="W6" t="s">
        <v>49</v>
      </c>
      <c r="X6" t="s">
        <v>5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64</v>
      </c>
      <c r="B7" s="3">
        <v>61052</v>
      </c>
      <c r="C7" s="3">
        <v>93775.981349000009</v>
      </c>
      <c r="V7" t="str">
        <f t="shared" si="0"/>
        <v>AIR ASIAP4</v>
      </c>
      <c r="W7" t="s">
        <v>49</v>
      </c>
      <c r="X7" t="s">
        <v>6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43</v>
      </c>
      <c r="B8" s="3">
        <v>648</v>
      </c>
      <c r="C8" s="3">
        <v>1392.7165519999999</v>
      </c>
      <c r="V8" t="str">
        <f t="shared" si="0"/>
        <v>AIR ASIAP4.1</v>
      </c>
      <c r="W8" t="s">
        <v>49</v>
      </c>
      <c r="X8" t="s">
        <v>60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51</v>
      </c>
      <c r="B9" s="3">
        <v>1389</v>
      </c>
      <c r="C9" s="3">
        <v>1617.18</v>
      </c>
      <c r="V9" t="str">
        <f t="shared" si="0"/>
        <v>AIR ASIAP4.2</v>
      </c>
      <c r="W9" t="s">
        <v>49</v>
      </c>
      <c r="X9" t="s">
        <v>61</v>
      </c>
      <c r="Y9" s="3"/>
      <c r="Z9" s="3"/>
      <c r="AA9" s="3"/>
    </row>
    <row r="10" spans="1:27" x14ac:dyDescent="0.2">
      <c r="A10" s="2" t="s">
        <v>44</v>
      </c>
      <c r="B10" s="3">
        <v>4140</v>
      </c>
      <c r="C10" s="3">
        <v>6380</v>
      </c>
      <c r="V10" t="str">
        <f t="shared" si="0"/>
        <v>AIR ASIAP5</v>
      </c>
      <c r="W10" t="s">
        <v>49</v>
      </c>
      <c r="X10" t="s">
        <v>7</v>
      </c>
      <c r="Y10" s="3"/>
      <c r="Z10" s="3"/>
      <c r="AA10" s="3"/>
    </row>
    <row r="11" spans="1:27" x14ac:dyDescent="0.2">
      <c r="A11" s="2" t="s">
        <v>38</v>
      </c>
      <c r="B11" s="3">
        <v>25201</v>
      </c>
      <c r="C11" s="3">
        <v>33290.79</v>
      </c>
      <c r="V11" t="str">
        <f t="shared" si="0"/>
        <v>AIR ASIAP6</v>
      </c>
      <c r="W11" t="s">
        <v>49</v>
      </c>
      <c r="X11" t="s">
        <v>8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62</v>
      </c>
      <c r="B12" s="3">
        <v>12112</v>
      </c>
      <c r="C12" s="3">
        <v>34401.086552000001</v>
      </c>
      <c r="V12" t="str">
        <f t="shared" si="0"/>
        <v>AIR INDIAP1</v>
      </c>
      <c r="W12" t="s">
        <v>41</v>
      </c>
      <c r="X12" t="s">
        <v>3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63</v>
      </c>
      <c r="B13" s="3">
        <v>48940</v>
      </c>
      <c r="C13" s="3">
        <v>59374.894797000001</v>
      </c>
      <c r="V13" t="str">
        <f t="shared" si="0"/>
        <v>AIR INDIAP2</v>
      </c>
      <c r="W13" t="s">
        <v>41</v>
      </c>
      <c r="X13" t="s">
        <v>4</v>
      </c>
      <c r="Y13" s="3"/>
      <c r="Z13" s="3"/>
      <c r="AA13" s="3"/>
    </row>
    <row r="14" spans="1:27" x14ac:dyDescent="0.2">
      <c r="A14" s="2" t="s">
        <v>47</v>
      </c>
      <c r="B14" s="3">
        <v>12094</v>
      </c>
      <c r="C14" s="3">
        <v>9401.4900000000016</v>
      </c>
      <c r="V14" t="str">
        <f t="shared" si="0"/>
        <v>AIR INDIAP3</v>
      </c>
      <c r="W14" t="s">
        <v>41</v>
      </c>
      <c r="X14" t="s">
        <v>5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53</v>
      </c>
      <c r="B15" s="3">
        <v>895</v>
      </c>
      <c r="C15" s="3">
        <v>801.87858399999982</v>
      </c>
      <c r="V15" t="str">
        <f t="shared" si="0"/>
        <v>AIR INDIAP4</v>
      </c>
      <c r="W15" t="s">
        <v>41</v>
      </c>
      <c r="X15" t="s">
        <v>6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50</v>
      </c>
      <c r="B16" s="3">
        <v>2721</v>
      </c>
      <c r="C16" s="3">
        <v>4070.3999999999996</v>
      </c>
      <c r="V16" t="str">
        <f t="shared" si="0"/>
        <v>AIR INDIAP4.1</v>
      </c>
      <c r="W16" t="s">
        <v>41</v>
      </c>
      <c r="X16" t="s">
        <v>60</v>
      </c>
      <c r="Y16" s="3"/>
      <c r="Z16" s="3"/>
      <c r="AA16" s="3"/>
    </row>
    <row r="17" spans="1:27" x14ac:dyDescent="0.2">
      <c r="A17" s="2" t="s">
        <v>66</v>
      </c>
      <c r="B17" s="3"/>
      <c r="C17" s="3"/>
      <c r="V17" t="str">
        <f t="shared" si="0"/>
        <v>AIR INDIAP4.2</v>
      </c>
      <c r="W17" t="s">
        <v>41</v>
      </c>
      <c r="X17" t="s">
        <v>61</v>
      </c>
      <c r="Y17" s="3"/>
      <c r="Z17" s="3"/>
      <c r="AA17" s="3"/>
    </row>
    <row r="18" spans="1:27" x14ac:dyDescent="0.2">
      <c r="A18" s="2" t="s">
        <v>202</v>
      </c>
      <c r="B18" s="3"/>
      <c r="C18" s="3"/>
      <c r="V18" t="str">
        <f t="shared" si="0"/>
        <v>AIR INDIAP5</v>
      </c>
      <c r="W18" t="s">
        <v>41</v>
      </c>
      <c r="X18" t="s">
        <v>7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204</v>
      </c>
      <c r="B19" s="3">
        <v>33</v>
      </c>
      <c r="C19" s="3">
        <v>7.0138840000000009</v>
      </c>
      <c r="V19" t="str">
        <f t="shared" si="0"/>
        <v>AIR INDIAP6</v>
      </c>
      <c r="W19" t="s">
        <v>41</v>
      </c>
      <c r="X19" t="s">
        <v>8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67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42</v>
      </c>
      <c r="X20" t="s">
        <v>3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42</v>
      </c>
      <c r="X21" t="s">
        <v>4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42</v>
      </c>
      <c r="X22" t="s">
        <v>5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42</v>
      </c>
      <c r="X23" t="s">
        <v>6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42</v>
      </c>
      <c r="X24" t="s">
        <v>60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42</v>
      </c>
      <c r="X25" t="s">
        <v>61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42</v>
      </c>
      <c r="X26" t="s">
        <v>7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42</v>
      </c>
      <c r="X27" t="s">
        <v>8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64</v>
      </c>
      <c r="X28" t="s">
        <v>3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64</v>
      </c>
      <c r="X29" t="s">
        <v>4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64</v>
      </c>
      <c r="X30" t="s">
        <v>5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64</v>
      </c>
      <c r="X31" t="s">
        <v>6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64</v>
      </c>
      <c r="X32" t="s">
        <v>60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64</v>
      </c>
      <c r="X33" t="s">
        <v>61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64</v>
      </c>
      <c r="X34" t="s">
        <v>7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64</v>
      </c>
      <c r="X35" t="s">
        <v>8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43</v>
      </c>
      <c r="X36" t="s">
        <v>3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43</v>
      </c>
      <c r="X37" t="s">
        <v>4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43</v>
      </c>
      <c r="X38" t="s">
        <v>5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43</v>
      </c>
      <c r="X39" t="s">
        <v>6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43</v>
      </c>
      <c r="X40" t="s">
        <v>60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43</v>
      </c>
      <c r="X41" t="s">
        <v>61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43</v>
      </c>
      <c r="X42" t="s">
        <v>7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43</v>
      </c>
      <c r="X43" t="s">
        <v>8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51</v>
      </c>
      <c r="X44" t="s">
        <v>3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51</v>
      </c>
      <c r="X45" t="s">
        <v>4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51</v>
      </c>
      <c r="X46" t="s">
        <v>5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51</v>
      </c>
      <c r="X47" t="s">
        <v>6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51</v>
      </c>
      <c r="X48" t="s">
        <v>60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51</v>
      </c>
      <c r="X49" t="s">
        <v>61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51</v>
      </c>
      <c r="X50" t="s">
        <v>7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51</v>
      </c>
      <c r="X51" t="s">
        <v>8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44</v>
      </c>
      <c r="X52" t="s">
        <v>3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44</v>
      </c>
      <c r="X53" t="s">
        <v>4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44</v>
      </c>
      <c r="X54" t="s">
        <v>5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44</v>
      </c>
      <c r="X55" t="s">
        <v>6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44</v>
      </c>
      <c r="X56" t="s">
        <v>60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44</v>
      </c>
      <c r="X57" t="s">
        <v>61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44</v>
      </c>
      <c r="X58" t="s">
        <v>7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44</v>
      </c>
      <c r="X59" t="s">
        <v>8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38</v>
      </c>
      <c r="X60" t="s">
        <v>3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38</v>
      </c>
      <c r="X61" t="s">
        <v>4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38</v>
      </c>
      <c r="X62" t="s">
        <v>5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38</v>
      </c>
      <c r="X63" t="s">
        <v>6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38</v>
      </c>
      <c r="X64" t="s">
        <v>60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38</v>
      </c>
      <c r="X65" t="s">
        <v>61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38</v>
      </c>
      <c r="X66" t="s">
        <v>7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38</v>
      </c>
      <c r="X67" t="s">
        <v>8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62</v>
      </c>
      <c r="X68" t="s">
        <v>3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62</v>
      </c>
      <c r="X69" t="s">
        <v>4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62</v>
      </c>
      <c r="X70" t="s">
        <v>5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62</v>
      </c>
      <c r="X71" t="s">
        <v>6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62</v>
      </c>
      <c r="X72" t="s">
        <v>60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62</v>
      </c>
      <c r="X73" t="s">
        <v>61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62</v>
      </c>
      <c r="X74" t="s">
        <v>7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62</v>
      </c>
      <c r="X75" t="s">
        <v>8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63</v>
      </c>
      <c r="X76" t="s">
        <v>3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63</v>
      </c>
      <c r="X77" t="s">
        <v>4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63</v>
      </c>
      <c r="X78" t="s">
        <v>5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63</v>
      </c>
      <c r="X79" t="s">
        <v>6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63</v>
      </c>
      <c r="X80" t="s">
        <v>60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63</v>
      </c>
      <c r="X81" t="s">
        <v>61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63</v>
      </c>
      <c r="X82" t="s">
        <v>7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63</v>
      </c>
      <c r="X83" t="s">
        <v>8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47</v>
      </c>
      <c r="X84" t="s">
        <v>3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47</v>
      </c>
      <c r="X85" t="s">
        <v>4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47</v>
      </c>
      <c r="X86" t="s">
        <v>5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47</v>
      </c>
      <c r="X87" t="s">
        <v>6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47</v>
      </c>
      <c r="X88" t="s">
        <v>60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47</v>
      </c>
      <c r="X89" t="s">
        <v>61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47</v>
      </c>
      <c r="X90" t="s">
        <v>7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47</v>
      </c>
      <c r="X91" t="s">
        <v>8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53</v>
      </c>
      <c r="X92" t="s">
        <v>3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53</v>
      </c>
      <c r="X93" t="s">
        <v>4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53</v>
      </c>
      <c r="X94" t="s">
        <v>5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53</v>
      </c>
      <c r="X95" t="s">
        <v>6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53</v>
      </c>
      <c r="X96" t="s">
        <v>60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53</v>
      </c>
      <c r="X97" t="s">
        <v>61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53</v>
      </c>
      <c r="X98" t="s">
        <v>7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53</v>
      </c>
      <c r="X99" t="s">
        <v>8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50</v>
      </c>
      <c r="X100" t="s">
        <v>3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50</v>
      </c>
      <c r="X101" t="s">
        <v>4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50</v>
      </c>
      <c r="X102" t="s">
        <v>5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50</v>
      </c>
      <c r="X103" t="s">
        <v>6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50</v>
      </c>
      <c r="X104" t="s">
        <v>60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50</v>
      </c>
      <c r="X105" t="s">
        <v>61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50</v>
      </c>
      <c r="X106" t="s">
        <v>7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50</v>
      </c>
      <c r="X107" t="s">
        <v>8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66</v>
      </c>
      <c r="X108" t="s">
        <v>66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202</v>
      </c>
      <c r="X109" t="s">
        <v>3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202</v>
      </c>
      <c r="X110" t="s">
        <v>4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202</v>
      </c>
      <c r="X111" t="s">
        <v>5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202</v>
      </c>
      <c r="X112" t="s">
        <v>6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202</v>
      </c>
      <c r="X113" t="s">
        <v>60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202</v>
      </c>
      <c r="X114" t="s">
        <v>61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202</v>
      </c>
      <c r="X115" t="s">
        <v>7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202</v>
      </c>
      <c r="X116" t="s">
        <v>8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204</v>
      </c>
      <c r="X117" t="s">
        <v>3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204</v>
      </c>
      <c r="X118" t="s">
        <v>4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204</v>
      </c>
      <c r="X119" t="s">
        <v>5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204</v>
      </c>
      <c r="X120" t="s">
        <v>6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204</v>
      </c>
      <c r="X121" t="s">
        <v>60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204</v>
      </c>
      <c r="X122" t="s">
        <v>61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204</v>
      </c>
      <c r="X123" t="s">
        <v>7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204</v>
      </c>
      <c r="X124" t="s">
        <v>8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14</v>
      </c>
      <c r="C2" s="7" t="s">
        <v>121</v>
      </c>
      <c r="D2" s="7" t="s">
        <v>122</v>
      </c>
      <c r="E2" s="7" t="s">
        <v>17</v>
      </c>
      <c r="F2" s="7" t="s">
        <v>123</v>
      </c>
      <c r="G2" s="8" t="s">
        <v>124</v>
      </c>
      <c r="H2" s="8" t="s">
        <v>125</v>
      </c>
      <c r="I2" s="9" t="s">
        <v>126</v>
      </c>
      <c r="J2" s="8" t="s">
        <v>127</v>
      </c>
      <c r="K2" s="8" t="s">
        <v>128</v>
      </c>
      <c r="L2" s="8" t="s">
        <v>129</v>
      </c>
      <c r="M2" s="8" t="s">
        <v>130</v>
      </c>
      <c r="N2" s="8" t="s">
        <v>131</v>
      </c>
      <c r="O2" s="8" t="s">
        <v>132</v>
      </c>
      <c r="P2" s="8" t="s">
        <v>133</v>
      </c>
      <c r="Q2" s="8" t="s">
        <v>134</v>
      </c>
      <c r="R2" s="8" t="s">
        <v>135</v>
      </c>
      <c r="S2" s="10" t="s">
        <v>136</v>
      </c>
      <c r="T2" s="8" t="s">
        <v>137</v>
      </c>
      <c r="U2" s="8" t="s">
        <v>138</v>
      </c>
      <c r="V2" s="7" t="s">
        <v>139</v>
      </c>
      <c r="W2" s="8" t="s">
        <v>140</v>
      </c>
      <c r="X2" s="7" t="s">
        <v>141</v>
      </c>
      <c r="Y2" s="7" t="s">
        <v>142</v>
      </c>
    </row>
    <row r="3" spans="1:25" x14ac:dyDescent="0.2">
      <c r="A3" s="1" t="s">
        <v>65</v>
      </c>
      <c r="B3" t="s">
        <v>68</v>
      </c>
      <c r="C3" t="s">
        <v>96</v>
      </c>
      <c r="D3" t="s">
        <v>97</v>
      </c>
      <c r="E3" t="s">
        <v>98</v>
      </c>
      <c r="F3" t="s">
        <v>99</v>
      </c>
      <c r="G3" t="s">
        <v>100</v>
      </c>
      <c r="H3" t="s">
        <v>101</v>
      </c>
      <c r="I3" t="s">
        <v>102</v>
      </c>
      <c r="J3" t="s">
        <v>103</v>
      </c>
      <c r="K3" t="s">
        <v>104</v>
      </c>
      <c r="L3" t="s">
        <v>105</v>
      </c>
      <c r="M3" t="s">
        <v>106</v>
      </c>
      <c r="N3" t="s">
        <v>107</v>
      </c>
      <c r="O3" t="s">
        <v>108</v>
      </c>
      <c r="P3" t="s">
        <v>109</v>
      </c>
      <c r="Q3" t="s">
        <v>110</v>
      </c>
      <c r="R3" t="s">
        <v>111</v>
      </c>
      <c r="S3" t="s">
        <v>112</v>
      </c>
      <c r="T3" t="s">
        <v>113</v>
      </c>
      <c r="U3" t="s">
        <v>114</v>
      </c>
      <c r="V3" t="s">
        <v>115</v>
      </c>
      <c r="W3" t="s">
        <v>116</v>
      </c>
      <c r="X3" t="s">
        <v>117</v>
      </c>
      <c r="Y3" t="s">
        <v>118</v>
      </c>
    </row>
    <row r="4" spans="1:25" s="15" customFormat="1" x14ac:dyDescent="0.2">
      <c r="A4" s="17" t="s">
        <v>49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41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42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43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51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44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47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53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50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66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62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63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64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202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203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201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67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N34"/>
  <sheetViews>
    <sheetView showGridLines="0" tabSelected="1" view="pageBreakPreview" topLeftCell="B1" zoomScale="85" zoomScaleNormal="75" zoomScaleSheetLayoutView="85" workbookViewId="0">
      <selection activeCell="B3" sqref="B3:L3"/>
    </sheetView>
  </sheetViews>
  <sheetFormatPr defaultColWidth="11" defaultRowHeight="15.75" x14ac:dyDescent="0.25"/>
  <cols>
    <col min="1" max="1" width="6.140625" style="23" hidden="1" customWidth="1"/>
    <col min="2" max="2" width="29.85546875" style="23" customWidth="1"/>
    <col min="3" max="3" width="10" style="23" customWidth="1"/>
    <col min="4" max="7" width="9.7109375" style="23" customWidth="1"/>
    <col min="8" max="8" width="9.85546875" style="23" customWidth="1"/>
    <col min="9" max="11" width="9.7109375" style="23" customWidth="1"/>
    <col min="12" max="16384" width="11" style="23"/>
  </cols>
  <sheetData>
    <row r="1" spans="1:14" ht="33" customHeight="1" x14ac:dyDescent="0.25">
      <c r="B1" s="65" t="s">
        <v>213</v>
      </c>
      <c r="C1" s="66"/>
      <c r="D1" s="66"/>
      <c r="E1" s="66"/>
      <c r="F1" s="66"/>
      <c r="G1" s="66"/>
      <c r="H1" s="66"/>
      <c r="I1" s="66"/>
      <c r="J1" s="66"/>
      <c r="K1" s="66"/>
      <c r="L1" s="67"/>
    </row>
    <row r="2" spans="1:14" ht="30.75" customHeight="1" x14ac:dyDescent="0.25">
      <c r="B2" s="68" t="s">
        <v>214</v>
      </c>
      <c r="C2" s="69"/>
      <c r="D2" s="69"/>
      <c r="E2" s="69"/>
      <c r="F2" s="69"/>
      <c r="G2" s="69"/>
      <c r="H2" s="69"/>
      <c r="I2" s="69"/>
      <c r="J2" s="69"/>
      <c r="K2" s="69"/>
      <c r="L2" s="70"/>
    </row>
    <row r="3" spans="1:14" ht="30" customHeight="1" x14ac:dyDescent="0.25">
      <c r="B3" s="71" t="s">
        <v>212</v>
      </c>
      <c r="C3" s="72"/>
      <c r="D3" s="72"/>
      <c r="E3" s="72"/>
      <c r="F3" s="72"/>
      <c r="G3" s="72"/>
      <c r="H3" s="72"/>
      <c r="I3" s="72"/>
      <c r="J3" s="72"/>
      <c r="K3" s="72"/>
      <c r="L3" s="73"/>
    </row>
    <row r="4" spans="1:14" ht="26.25" customHeight="1" x14ac:dyDescent="0.25">
      <c r="B4" s="74" t="s">
        <v>10</v>
      </c>
      <c r="C4" s="75"/>
      <c r="D4" s="75"/>
      <c r="E4" s="75"/>
      <c r="F4" s="75"/>
      <c r="G4" s="75"/>
      <c r="H4" s="75"/>
      <c r="I4" s="75"/>
      <c r="J4" s="75"/>
      <c r="K4" s="75"/>
      <c r="L4" s="76"/>
    </row>
    <row r="5" spans="1:14" ht="24" customHeight="1" x14ac:dyDescent="0.25">
      <c r="A5" s="24" t="s">
        <v>9</v>
      </c>
      <c r="B5" s="25" t="s">
        <v>11</v>
      </c>
      <c r="C5" s="26" t="s">
        <v>2</v>
      </c>
      <c r="D5" s="26" t="s">
        <v>40</v>
      </c>
      <c r="E5" s="26" t="s">
        <v>82</v>
      </c>
      <c r="F5" s="26" t="s">
        <v>198</v>
      </c>
      <c r="G5" s="26" t="s">
        <v>205</v>
      </c>
      <c r="H5" s="26" t="s">
        <v>206</v>
      </c>
      <c r="I5" s="26" t="s">
        <v>207</v>
      </c>
      <c r="J5" s="26" t="s">
        <v>208</v>
      </c>
      <c r="K5" s="26" t="s">
        <v>209</v>
      </c>
      <c r="L5" s="26" t="s">
        <v>210</v>
      </c>
    </row>
    <row r="6" spans="1:14" ht="20.25" customHeight="1" x14ac:dyDescent="0.25">
      <c r="A6" s="27"/>
      <c r="B6" s="59" t="s">
        <v>12</v>
      </c>
      <c r="C6" s="60"/>
      <c r="D6" s="60"/>
      <c r="E6" s="60"/>
      <c r="F6" s="60"/>
      <c r="G6" s="60"/>
      <c r="H6" s="60"/>
      <c r="I6" s="60"/>
      <c r="J6" s="60"/>
      <c r="K6" s="60"/>
      <c r="L6" s="61"/>
    </row>
    <row r="7" spans="1:14" ht="20.25" customHeight="1" x14ac:dyDescent="0.25">
      <c r="A7" s="28">
        <v>1</v>
      </c>
      <c r="B7" s="56" t="s">
        <v>13</v>
      </c>
      <c r="C7" s="57"/>
      <c r="D7" s="57"/>
      <c r="E7" s="57"/>
      <c r="F7" s="57"/>
      <c r="G7" s="57"/>
      <c r="H7" s="57"/>
      <c r="I7" s="57"/>
      <c r="J7" s="57"/>
      <c r="K7" s="57"/>
      <c r="L7" s="58"/>
    </row>
    <row r="8" spans="1:14" ht="20.25" customHeight="1" x14ac:dyDescent="0.25">
      <c r="A8" s="29">
        <v>1.1000000000000001</v>
      </c>
      <c r="B8" s="30" t="s">
        <v>14</v>
      </c>
      <c r="C8" s="31"/>
      <c r="D8" s="31"/>
      <c r="E8" s="31"/>
      <c r="F8" s="31"/>
      <c r="G8" s="32"/>
      <c r="H8" s="32"/>
      <c r="I8" s="32"/>
      <c r="J8" s="32"/>
      <c r="K8" s="32"/>
      <c r="L8" s="55">
        <v>1.42</v>
      </c>
    </row>
    <row r="9" spans="1:14" ht="20.25" customHeight="1" x14ac:dyDescent="0.25">
      <c r="A9" s="29">
        <v>1.2</v>
      </c>
      <c r="B9" s="33" t="s">
        <v>15</v>
      </c>
      <c r="C9" s="34"/>
      <c r="D9" s="34"/>
      <c r="E9" s="34"/>
      <c r="F9" s="34"/>
      <c r="G9" s="35"/>
      <c r="H9" s="35"/>
      <c r="I9" s="32"/>
      <c r="J9" s="32"/>
      <c r="K9" s="32"/>
      <c r="L9" s="55">
        <v>0</v>
      </c>
    </row>
    <row r="10" spans="1:14" ht="20.25" customHeight="1" x14ac:dyDescent="0.25">
      <c r="A10" s="29">
        <v>1.3</v>
      </c>
      <c r="B10" s="33" t="s">
        <v>16</v>
      </c>
      <c r="C10" s="34"/>
      <c r="D10" s="34"/>
      <c r="E10" s="34"/>
      <c r="F10" s="34"/>
      <c r="G10" s="35"/>
      <c r="H10" s="35"/>
      <c r="I10" s="35"/>
      <c r="J10" s="35"/>
      <c r="K10" s="35"/>
      <c r="L10" s="49">
        <v>0</v>
      </c>
    </row>
    <row r="11" spans="1:14" ht="20.25" customHeight="1" x14ac:dyDescent="0.25">
      <c r="A11" s="29">
        <v>1.4</v>
      </c>
      <c r="B11" s="33" t="s">
        <v>17</v>
      </c>
      <c r="C11" s="34"/>
      <c r="D11" s="34"/>
      <c r="E11" s="34"/>
      <c r="F11" s="34"/>
      <c r="G11" s="35"/>
      <c r="H11" s="35"/>
      <c r="I11" s="35"/>
      <c r="J11" s="35"/>
      <c r="K11" s="35"/>
      <c r="L11" s="49">
        <v>0</v>
      </c>
    </row>
    <row r="12" spans="1:14" ht="20.25" customHeight="1" x14ac:dyDescent="0.25">
      <c r="A12" s="29">
        <v>1.5</v>
      </c>
      <c r="B12" s="33" t="s">
        <v>18</v>
      </c>
      <c r="C12" s="34"/>
      <c r="D12" s="34"/>
      <c r="E12" s="34"/>
      <c r="F12" s="34"/>
      <c r="G12" s="35"/>
      <c r="H12" s="35"/>
      <c r="I12" s="35"/>
      <c r="J12" s="35"/>
      <c r="K12" s="35"/>
      <c r="L12" s="49">
        <v>0</v>
      </c>
    </row>
    <row r="13" spans="1:14" ht="29.25" customHeight="1" x14ac:dyDescent="0.25">
      <c r="A13" s="36"/>
      <c r="B13" s="37" t="s">
        <v>19</v>
      </c>
      <c r="C13" s="38"/>
      <c r="D13" s="39"/>
      <c r="E13" s="39"/>
      <c r="F13" s="39"/>
      <c r="G13" s="39"/>
      <c r="H13" s="39"/>
      <c r="I13" s="39"/>
      <c r="J13" s="39"/>
      <c r="K13" s="39"/>
      <c r="L13" s="39">
        <v>1.4</v>
      </c>
    </row>
    <row r="14" spans="1:14" ht="20.25" customHeight="1" x14ac:dyDescent="0.25">
      <c r="A14" s="28">
        <v>2</v>
      </c>
      <c r="B14" s="40" t="s">
        <v>20</v>
      </c>
      <c r="C14" s="34"/>
      <c r="D14" s="34"/>
      <c r="E14" s="34"/>
      <c r="F14" s="34"/>
      <c r="G14" s="35"/>
      <c r="H14" s="35"/>
      <c r="I14" s="35"/>
      <c r="J14" s="35"/>
      <c r="K14" s="35"/>
      <c r="L14" s="49">
        <v>0</v>
      </c>
    </row>
    <row r="15" spans="1:14" ht="20.25" customHeight="1" x14ac:dyDescent="0.25">
      <c r="A15" s="28">
        <v>3</v>
      </c>
      <c r="B15" s="37" t="s">
        <v>21</v>
      </c>
      <c r="C15" s="34"/>
      <c r="D15" s="34"/>
      <c r="E15" s="34"/>
      <c r="F15" s="34"/>
      <c r="G15" s="35"/>
      <c r="H15" s="35"/>
      <c r="I15" s="35"/>
      <c r="J15" s="35"/>
      <c r="K15" s="35"/>
      <c r="L15" s="49">
        <v>35.700000000000003</v>
      </c>
    </row>
    <row r="16" spans="1:14" ht="20.25" customHeight="1" x14ac:dyDescent="0.25">
      <c r="A16" s="28">
        <v>4</v>
      </c>
      <c r="B16" s="41" t="s">
        <v>1</v>
      </c>
      <c r="C16" s="42"/>
      <c r="D16" s="43"/>
      <c r="E16" s="43"/>
      <c r="F16" s="43"/>
      <c r="G16" s="43"/>
      <c r="H16" s="43"/>
      <c r="I16" s="43"/>
      <c r="J16" s="43"/>
      <c r="K16" s="43"/>
      <c r="L16" s="43">
        <v>37.119999999999997</v>
      </c>
      <c r="M16" s="44"/>
      <c r="N16" s="44"/>
    </row>
    <row r="17" spans="1:12" ht="20.25" customHeight="1" x14ac:dyDescent="0.25">
      <c r="A17" s="27" t="s">
        <v>22</v>
      </c>
      <c r="B17" s="59" t="s">
        <v>23</v>
      </c>
      <c r="C17" s="60"/>
      <c r="D17" s="60"/>
      <c r="E17" s="60"/>
      <c r="F17" s="60"/>
      <c r="G17" s="60"/>
      <c r="H17" s="60"/>
      <c r="I17" s="60"/>
      <c r="J17" s="60"/>
      <c r="K17" s="60"/>
      <c r="L17" s="61"/>
    </row>
    <row r="18" spans="1:12" ht="20.25" customHeight="1" x14ac:dyDescent="0.25">
      <c r="A18" s="28">
        <v>5</v>
      </c>
      <c r="B18" s="45" t="s">
        <v>24</v>
      </c>
      <c r="C18" s="31"/>
      <c r="D18" s="32"/>
      <c r="E18" s="32"/>
      <c r="F18" s="32"/>
      <c r="G18" s="32"/>
      <c r="H18" s="32"/>
      <c r="I18" s="32"/>
      <c r="J18" s="32"/>
      <c r="K18" s="32"/>
      <c r="L18" s="55">
        <v>74.459999999999994</v>
      </c>
    </row>
    <row r="19" spans="1:12" ht="28.5" customHeight="1" x14ac:dyDescent="0.25">
      <c r="A19" s="28">
        <v>6</v>
      </c>
      <c r="B19" s="46" t="s">
        <v>25</v>
      </c>
      <c r="C19" s="34"/>
      <c r="D19" s="35"/>
      <c r="E19" s="35"/>
      <c r="F19" s="35"/>
      <c r="G19" s="35"/>
      <c r="H19" s="35"/>
      <c r="I19" s="35"/>
      <c r="J19" s="35"/>
      <c r="K19" s="35"/>
      <c r="L19" s="49">
        <v>0.19</v>
      </c>
    </row>
    <row r="20" spans="1:12" ht="31.5" customHeight="1" x14ac:dyDescent="0.25">
      <c r="A20" s="28">
        <v>7</v>
      </c>
      <c r="B20" s="46" t="s">
        <v>26</v>
      </c>
      <c r="C20" s="34"/>
      <c r="D20" s="35"/>
      <c r="E20" s="35"/>
      <c r="F20" s="35"/>
      <c r="G20" s="35"/>
      <c r="H20" s="35"/>
      <c r="I20" s="35"/>
      <c r="J20" s="35"/>
      <c r="K20" s="35"/>
      <c r="L20" s="49">
        <v>2.5299999999999998</v>
      </c>
    </row>
    <row r="21" spans="1:12" ht="20.25" customHeight="1" x14ac:dyDescent="0.25">
      <c r="A21" s="28">
        <v>8</v>
      </c>
      <c r="B21" s="46" t="s">
        <v>160</v>
      </c>
      <c r="C21" s="34"/>
      <c r="D21" s="35"/>
      <c r="E21" s="35"/>
      <c r="F21" s="35"/>
      <c r="G21" s="35"/>
      <c r="H21" s="35"/>
      <c r="I21" s="35"/>
      <c r="J21" s="35"/>
      <c r="K21" s="35"/>
      <c r="L21" s="49">
        <v>5.72</v>
      </c>
    </row>
    <row r="22" spans="1:12" ht="20.25" customHeight="1" x14ac:dyDescent="0.25">
      <c r="A22" s="28">
        <v>9</v>
      </c>
      <c r="B22" s="46" t="s">
        <v>27</v>
      </c>
      <c r="C22" s="34"/>
      <c r="D22" s="35"/>
      <c r="E22" s="35"/>
      <c r="F22" s="35"/>
      <c r="G22" s="35"/>
      <c r="H22" s="35"/>
      <c r="I22" s="35"/>
      <c r="J22" s="35"/>
      <c r="K22" s="35"/>
      <c r="L22" s="49">
        <v>4.25</v>
      </c>
    </row>
    <row r="23" spans="1:12" ht="20.25" customHeight="1" x14ac:dyDescent="0.25">
      <c r="A23" s="28">
        <v>10</v>
      </c>
      <c r="B23" s="46" t="s">
        <v>28</v>
      </c>
      <c r="C23" s="34"/>
      <c r="D23" s="35"/>
      <c r="E23" s="35"/>
      <c r="F23" s="35"/>
      <c r="G23" s="35"/>
      <c r="H23" s="35"/>
      <c r="I23" s="35"/>
      <c r="J23" s="35"/>
      <c r="K23" s="35"/>
      <c r="L23" s="49">
        <v>1.6</v>
      </c>
    </row>
    <row r="24" spans="1:12" ht="29.25" customHeight="1" x14ac:dyDescent="0.25">
      <c r="A24" s="28">
        <v>11</v>
      </c>
      <c r="B24" s="46" t="s">
        <v>29</v>
      </c>
      <c r="C24" s="34"/>
      <c r="D24" s="35"/>
      <c r="E24" s="35"/>
      <c r="F24" s="35"/>
      <c r="G24" s="35"/>
      <c r="H24" s="35"/>
      <c r="I24" s="35"/>
      <c r="J24" s="35"/>
      <c r="K24" s="35"/>
      <c r="L24" s="49">
        <v>2.6</v>
      </c>
    </row>
    <row r="25" spans="1:12" ht="20.25" customHeight="1" x14ac:dyDescent="0.25">
      <c r="A25" s="28">
        <v>12</v>
      </c>
      <c r="B25" s="46" t="s">
        <v>30</v>
      </c>
      <c r="C25" s="34"/>
      <c r="D25" s="35"/>
      <c r="E25" s="35"/>
      <c r="F25" s="35"/>
      <c r="G25" s="35"/>
      <c r="H25" s="35"/>
      <c r="I25" s="35"/>
      <c r="J25" s="35"/>
      <c r="K25" s="35"/>
      <c r="L25" s="49">
        <v>23.98</v>
      </c>
    </row>
    <row r="26" spans="1:12" ht="20.25" customHeight="1" x14ac:dyDescent="0.25">
      <c r="A26" s="28">
        <v>13</v>
      </c>
      <c r="B26" s="46" t="s">
        <v>31</v>
      </c>
      <c r="C26" s="34"/>
      <c r="D26" s="35"/>
      <c r="E26" s="35"/>
      <c r="F26" s="35"/>
      <c r="G26" s="35"/>
      <c r="H26" s="35"/>
      <c r="I26" s="35"/>
      <c r="J26" s="35"/>
      <c r="K26" s="35"/>
      <c r="L26" s="49">
        <v>237.68</v>
      </c>
    </row>
    <row r="27" spans="1:12" ht="20.25" customHeight="1" x14ac:dyDescent="0.25">
      <c r="A27" s="28">
        <v>14</v>
      </c>
      <c r="B27" s="41" t="s">
        <v>0</v>
      </c>
      <c r="C27" s="42"/>
      <c r="D27" s="43"/>
      <c r="E27" s="43"/>
      <c r="F27" s="43"/>
      <c r="G27" s="43"/>
      <c r="H27" s="43"/>
      <c r="I27" s="43"/>
      <c r="J27" s="43"/>
      <c r="K27" s="43"/>
      <c r="L27" s="43">
        <v>353.01</v>
      </c>
    </row>
    <row r="28" spans="1:12" ht="20.25" customHeight="1" x14ac:dyDescent="0.25">
      <c r="A28" s="28">
        <v>15</v>
      </c>
      <c r="B28" s="47" t="s">
        <v>32</v>
      </c>
      <c r="C28" s="48"/>
      <c r="D28" s="49"/>
      <c r="E28" s="49"/>
      <c r="F28" s="49"/>
      <c r="G28" s="49"/>
      <c r="H28" s="49"/>
      <c r="I28" s="49"/>
      <c r="J28" s="49"/>
      <c r="K28" s="49"/>
      <c r="L28" s="49">
        <v>-315.89</v>
      </c>
    </row>
    <row r="29" spans="1:12" ht="32.25" customHeight="1" x14ac:dyDescent="0.25">
      <c r="A29" s="28">
        <v>21</v>
      </c>
      <c r="B29" s="47" t="s">
        <v>33</v>
      </c>
      <c r="C29" s="50"/>
      <c r="D29" s="49"/>
      <c r="E29" s="49"/>
      <c r="F29" s="49"/>
      <c r="G29" s="49"/>
      <c r="H29" s="49"/>
      <c r="I29" s="49"/>
      <c r="J29" s="49"/>
      <c r="K29" s="49"/>
      <c r="L29" s="49">
        <v>1.52</v>
      </c>
    </row>
    <row r="30" spans="1:12" ht="35.25" customHeight="1" x14ac:dyDescent="0.25">
      <c r="A30" s="28">
        <v>22</v>
      </c>
      <c r="B30" s="47" t="s">
        <v>37</v>
      </c>
      <c r="C30" s="51"/>
      <c r="D30" s="49"/>
      <c r="E30" s="49"/>
      <c r="F30" s="49"/>
      <c r="G30" s="49"/>
      <c r="H30" s="49"/>
      <c r="I30" s="49"/>
      <c r="J30" s="49"/>
      <c r="K30" s="49"/>
      <c r="L30" s="49">
        <v>-314.17</v>
      </c>
    </row>
    <row r="31" spans="1:12" ht="20.25" customHeight="1" x14ac:dyDescent="0.25">
      <c r="A31" s="28">
        <v>23</v>
      </c>
      <c r="B31" s="46" t="s">
        <v>34</v>
      </c>
      <c r="C31" s="50"/>
      <c r="D31" s="49"/>
      <c r="E31" s="49"/>
      <c r="F31" s="49"/>
      <c r="G31" s="49"/>
      <c r="H31" s="49"/>
      <c r="I31" s="49"/>
      <c r="J31" s="49"/>
      <c r="K31" s="49"/>
      <c r="L31" s="49">
        <v>0</v>
      </c>
    </row>
    <row r="32" spans="1:12" ht="30.75" customHeight="1" x14ac:dyDescent="0.25">
      <c r="A32" s="28">
        <v>24</v>
      </c>
      <c r="B32" s="46" t="s">
        <v>35</v>
      </c>
      <c r="C32" s="50"/>
      <c r="D32" s="49"/>
      <c r="E32" s="49"/>
      <c r="F32" s="49"/>
      <c r="G32" s="49"/>
      <c r="H32" s="49"/>
      <c r="I32" s="49"/>
      <c r="J32" s="49"/>
      <c r="K32" s="49"/>
      <c r="L32" s="49">
        <v>-314.17</v>
      </c>
    </row>
    <row r="33" spans="1:12" ht="30.75" customHeight="1" x14ac:dyDescent="0.25">
      <c r="A33" s="28">
        <v>26</v>
      </c>
      <c r="B33" s="52" t="s">
        <v>36</v>
      </c>
      <c r="C33" s="53"/>
      <c r="D33" s="54"/>
      <c r="E33" s="54"/>
      <c r="F33" s="54"/>
      <c r="G33" s="54"/>
      <c r="H33" s="54"/>
      <c r="I33" s="54"/>
      <c r="J33" s="54"/>
      <c r="K33" s="54"/>
      <c r="L33" s="54">
        <v>-314.17</v>
      </c>
    </row>
    <row r="34" spans="1:12" ht="24.95" customHeight="1" x14ac:dyDescent="0.25">
      <c r="B34" s="62" t="s">
        <v>211</v>
      </c>
      <c r="C34" s="63"/>
      <c r="D34" s="63"/>
      <c r="E34" s="63"/>
      <c r="F34" s="63"/>
      <c r="G34" s="63"/>
      <c r="H34" s="63"/>
      <c r="I34" s="63"/>
      <c r="J34" s="63"/>
      <c r="K34" s="63"/>
      <c r="L34" s="64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5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2025-02-10T06:49:45Z</cp:lastPrinted>
  <dcterms:created xsi:type="dcterms:W3CDTF">2002-12-26T09:18:20Z</dcterms:created>
  <dcterms:modified xsi:type="dcterms:W3CDTF">2025-04-03T11:42:17Z</dcterms:modified>
</cp:coreProperties>
</file>