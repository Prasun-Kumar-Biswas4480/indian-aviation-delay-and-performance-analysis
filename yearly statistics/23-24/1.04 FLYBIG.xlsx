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FLYBIG\"/>
    </mc:Choice>
  </mc:AlternateContent>
  <bookViews>
    <workbookView xWindow="0" yWindow="0" windowWidth="24000" windowHeight="10725"/>
  </bookViews>
  <sheets>
    <sheet name="FLY BIG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6" l="1"/>
  <c r="Q15" i="6"/>
  <c r="Q14" i="6"/>
  <c r="Q13" i="6"/>
  <c r="H16" i="6"/>
  <c r="H15" i="6"/>
  <c r="H14" i="6"/>
  <c r="H13" i="6"/>
  <c r="Q17" i="6" l="1"/>
  <c r="L17" i="6"/>
  <c r="P17" i="6" l="1"/>
  <c r="O17" i="6"/>
  <c r="H17" i="6"/>
  <c r="G17" i="6"/>
  <c r="F17" i="6"/>
  <c r="E17" i="6"/>
  <c r="D17" i="6"/>
  <c r="C17" i="6"/>
  <c r="B17" i="6"/>
</calcChain>
</file>

<file path=xl/sharedStrings.xml><?xml version="1.0" encoding="utf-8"?>
<sst xmlns="http://schemas.openxmlformats.org/spreadsheetml/2006/main" count="58" uniqueCount="39">
  <si>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</si>
  <si>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</si>
  <si>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</si>
  <si>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</si>
  <si>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</si>
  <si>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</si>
  <si>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</si>
  <si>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</si>
  <si>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</si>
  <si>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</si>
  <si>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</si>
  <si>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</si>
  <si>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</si>
  <si>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</si>
  <si>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</si>
  <si>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</si>
  <si>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</si>
  <si>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</si>
  <si>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</si>
  <si>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</si>
  <si>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</si>
  <si>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</si>
  <si>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</si>
  <si>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</si>
  <si>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</si>
  <si>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</si>
  <si>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</si>
  <si>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2020-21</t>
  </si>
  <si>
    <t xml:space="preserve">तालिका - 1.04 (फ्लाई बिग) </t>
  </si>
  <si>
    <t>TABLE - 1.04 (FLY BIG)</t>
  </si>
  <si>
    <t xml:space="preserve">YEAR ON YEAR GROWTH AND CAGR FOR LAST TEN YEARS OF FLY BIG ON SCHEDULED DOMESTIC SERVICES (ALL AIR TRAFFIC AND OPERATING STATISTICS) </t>
  </si>
  <si>
    <t>SOURCE: ICAO ATR FORM 'A' FURNISHED BY FLY BIG</t>
  </si>
  <si>
    <t>2021-22</t>
  </si>
  <si>
    <t xml:space="preserve">  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</si>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</sst>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[$-1010409]mmmm/yy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3">
    <xf numFmtId="0" fontId="0" fillId="0" borderId="0" xfId="0"/>
    <xf numFmtId="164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9" fontId="0" fillId="5" borderId="1" xfId="4" applyNumberFormat="1" applyFont="1" applyFill="1" applyBorder="1" applyAlignment="1" applyProtection="1">
      <alignment horizontal="right" vertical="center" wrapText="1"/>
    </xf>
    <xf numFmtId="166" fontId="4" fillId="6" borderId="1" xfId="5" applyNumberFormat="1" applyFont="1" applyBorder="1" applyAlignment="1" applyProtection="1">
      <alignment horizontal="center" vertical="center" wrapText="1"/>
    </xf>
    <xf numFmtId="167" fontId="4" fillId="6" borderId="1" xfId="5" applyNumberFormat="1" applyBorder="1" applyAlignment="1">
      <alignment horizontal="right" vertical="center"/>
    </xf>
    <xf numFmtId="165" fontId="4" fillId="6" borderId="1" xfId="5" applyNumberFormat="1" applyBorder="1" applyAlignment="1">
      <alignment horizontal="right" vertical="center"/>
    </xf>
    <xf numFmtId="166" fontId="3" fillId="2" borderId="1" xfId="0" applyNumberFormat="1" applyFont="1" applyFill="1" applyBorder="1" applyAlignment="1" applyProtection="1">
      <alignment horizontal="center" vertical="center" wrapText="1"/>
    </xf>
    <xf numFmtId="167" fontId="0" fillId="0" borderId="1" xfId="6" applyNumberFormat="1" applyFont="1" applyBorder="1" applyAlignment="1">
      <alignment horizontal="right" vertical="center"/>
    </xf>
    <xf numFmtId="165" fontId="0" fillId="0" borderId="1" xfId="6" applyNumberFormat="1" applyFont="1" applyBorder="1" applyAlignment="1">
      <alignment horizontal="righ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85" zoomScaleNormal="85" zoomScaleSheetLayoutView="85" workbookViewId="0">
      <selection activeCell="N10" sqref="N10"/>
    </sheetView>
  </sheetViews>
  <sheetFormatPr defaultRowHeight="15" x14ac:dyDescent="0.25"/>
  <cols>
    <col min="1" max="1" width="13.42578125" customWidth="1"/>
    <col min="4" max="4" width="11" bestFit="1" customWidth="1"/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30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93" x14ac:dyDescent="0.25">
      <c r="A5" s="21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x14ac:dyDescent="0.25">
      <c r="A6" s="6" t="s">
        <v>19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9" t="s">
        <v>20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6" t="s">
        <v>21</v>
      </c>
      <c r="B8" s="7"/>
      <c r="C8" s="7"/>
      <c r="D8" s="7"/>
      <c r="E8" s="7"/>
      <c r="F8" s="8"/>
      <c r="G8" s="8"/>
      <c r="H8" s="8"/>
      <c r="I8" s="8"/>
      <c r="J8" s="8"/>
      <c r="K8" s="8" t="s">
        <v>33</v>
      </c>
      <c r="L8" s="8"/>
      <c r="M8" s="8"/>
      <c r="N8" s="8"/>
      <c r="O8" s="8"/>
      <c r="P8" s="8"/>
      <c r="Q8" s="8"/>
    </row>
    <row r="9" spans="1:17" x14ac:dyDescent="0.25">
      <c r="A9" s="9" t="s">
        <v>22</v>
      </c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6" t="s">
        <v>23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9" t="s">
        <v>25</v>
      </c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6" t="s">
        <v>26</v>
      </c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9" t="s">
        <v>27</v>
      </c>
      <c r="B13" s="10">
        <v>226</v>
      </c>
      <c r="C13" s="10">
        <v>289</v>
      </c>
      <c r="D13" s="10">
        <v>84.177999999999997</v>
      </c>
      <c r="E13" s="10">
        <v>7238</v>
      </c>
      <c r="F13" s="11">
        <v>3.4677699999999998</v>
      </c>
      <c r="G13" s="11">
        <v>7.7315000000000005</v>
      </c>
      <c r="H13" s="11">
        <f t="shared" ref="H13:H16" si="0">F13/G13*100</f>
        <v>44.852486580870462</v>
      </c>
      <c r="I13" s="11">
        <v>0</v>
      </c>
      <c r="J13" s="11">
        <v>0</v>
      </c>
      <c r="K13" s="11">
        <v>0</v>
      </c>
      <c r="L13" s="11">
        <v>0.26007999999999998</v>
      </c>
      <c r="M13" s="11">
        <v>0</v>
      </c>
      <c r="N13" s="11">
        <v>0</v>
      </c>
      <c r="O13" s="11">
        <v>0.25605</v>
      </c>
      <c r="P13" s="11">
        <v>2.3614800000000002</v>
      </c>
      <c r="Q13" s="11">
        <f t="shared" ref="Q13:Q16" si="1">O13/P13*100</f>
        <v>10.842776563849787</v>
      </c>
    </row>
    <row r="14" spans="1:17" x14ac:dyDescent="0.25">
      <c r="A14" s="6" t="s">
        <v>32</v>
      </c>
      <c r="B14" s="7">
        <v>2210</v>
      </c>
      <c r="C14" s="7">
        <v>2627.63</v>
      </c>
      <c r="D14" s="7">
        <v>11863.77</v>
      </c>
      <c r="E14" s="7">
        <v>81268</v>
      </c>
      <c r="F14" s="8">
        <v>30.496769999999998</v>
      </c>
      <c r="G14" s="8">
        <v>59.715550000000007</v>
      </c>
      <c r="H14" s="8">
        <f t="shared" si="0"/>
        <v>51.07006466489883</v>
      </c>
      <c r="I14" s="8">
        <v>0</v>
      </c>
      <c r="J14" s="8">
        <v>0</v>
      </c>
      <c r="K14" s="8">
        <v>0</v>
      </c>
      <c r="L14" s="8">
        <v>2.2872000000000003</v>
      </c>
      <c r="M14" s="8">
        <v>0</v>
      </c>
      <c r="N14" s="8">
        <v>0</v>
      </c>
      <c r="O14" s="8">
        <v>2.2872000000000003</v>
      </c>
      <c r="P14" s="8">
        <v>18.252542000000002</v>
      </c>
      <c r="Q14" s="8">
        <f t="shared" si="1"/>
        <v>12.530857345787783</v>
      </c>
    </row>
    <row r="15" spans="1:17" x14ac:dyDescent="0.25">
      <c r="A15" s="9" t="s">
        <v>34</v>
      </c>
      <c r="B15" s="10">
        <v>6172</v>
      </c>
      <c r="C15" s="10">
        <v>8496.413333333332</v>
      </c>
      <c r="D15" s="10">
        <v>2670.06</v>
      </c>
      <c r="E15" s="10">
        <v>255592</v>
      </c>
      <c r="F15" s="11">
        <v>111.30744</v>
      </c>
      <c r="G15" s="11">
        <v>189.79321400000001</v>
      </c>
      <c r="H15" s="11">
        <f t="shared" si="0"/>
        <v>58.646691129852513</v>
      </c>
      <c r="I15" s="11">
        <v>0</v>
      </c>
      <c r="J15" s="11">
        <v>0</v>
      </c>
      <c r="K15" s="11">
        <v>0</v>
      </c>
      <c r="L15" s="11">
        <v>8.1791757</v>
      </c>
      <c r="M15" s="11">
        <v>0</v>
      </c>
      <c r="N15" s="11">
        <v>0</v>
      </c>
      <c r="O15" s="11">
        <v>8.1791757</v>
      </c>
      <c r="P15" s="11">
        <v>58.137454000000005</v>
      </c>
      <c r="Q15" s="11">
        <f t="shared" si="1"/>
        <v>14.068685739145026</v>
      </c>
    </row>
    <row r="16" spans="1:17" x14ac:dyDescent="0.25">
      <c r="A16" s="6" t="s">
        <v>35</v>
      </c>
      <c r="B16" s="7">
        <v>4009</v>
      </c>
      <c r="C16" s="7">
        <v>5291.0349999999999</v>
      </c>
      <c r="D16" s="7">
        <v>1505.7549999999999</v>
      </c>
      <c r="E16" s="7">
        <v>155542</v>
      </c>
      <c r="F16" s="8">
        <v>61.434008999999989</v>
      </c>
      <c r="G16" s="8">
        <v>100.46755499999999</v>
      </c>
      <c r="H16" s="8">
        <f t="shared" si="0"/>
        <v>61.148107963809807</v>
      </c>
      <c r="I16" s="8">
        <v>0</v>
      </c>
      <c r="J16" s="8">
        <v>0</v>
      </c>
      <c r="K16" s="8">
        <v>0</v>
      </c>
      <c r="L16" s="8">
        <v>4.5176986750000001</v>
      </c>
      <c r="M16" s="8">
        <v>0</v>
      </c>
      <c r="N16" s="8">
        <v>0</v>
      </c>
      <c r="O16" s="8">
        <v>4.5176986750000001</v>
      </c>
      <c r="P16" s="8">
        <v>30.974727999999999</v>
      </c>
      <c r="Q16" s="8">
        <f t="shared" si="1"/>
        <v>14.585111691699119</v>
      </c>
    </row>
    <row r="17" spans="1:17" ht="30" x14ac:dyDescent="0.25">
      <c r="A17" s="2" t="s">
        <v>36</v>
      </c>
      <c r="B17" s="5">
        <f t="shared" ref="B17:H17" si="2">(B16-B15)/B15</f>
        <v>-0.35045366169799091</v>
      </c>
      <c r="C17" s="5">
        <f t="shared" si="2"/>
        <v>-0.37726252332356702</v>
      </c>
      <c r="D17" s="5">
        <f t="shared" si="2"/>
        <v>-0.43605948929986593</v>
      </c>
      <c r="E17" s="5">
        <f t="shared" si="2"/>
        <v>-0.39144417665654635</v>
      </c>
      <c r="F17" s="5">
        <f t="shared" si="2"/>
        <v>-0.44806915871930941</v>
      </c>
      <c r="G17" s="5">
        <f t="shared" si="2"/>
        <v>-0.47064727509172172</v>
      </c>
      <c r="H17" s="5">
        <f t="shared" si="2"/>
        <v>4.2652309717163474E-2</v>
      </c>
      <c r="I17" s="5"/>
      <c r="J17" s="5" t="s">
        <v>24</v>
      </c>
      <c r="K17" s="5"/>
      <c r="L17" s="5">
        <f>(L16-L15)/L15</f>
        <v>-0.44765843885710876</v>
      </c>
      <c r="M17" s="5"/>
      <c r="N17" s="5" t="s">
        <v>24</v>
      </c>
      <c r="O17" s="5">
        <f>(O16-O15)/O15</f>
        <v>-0.44765843885710876</v>
      </c>
      <c r="P17" s="5">
        <f>(P16-P15)/P15</f>
        <v>-0.46721560940731949</v>
      </c>
      <c r="Q17" s="5">
        <f>(Q16-Q15)/Q15</f>
        <v>3.6707476599408095E-2</v>
      </c>
    </row>
    <row r="18" spans="1:17" ht="40.5" customHeight="1" x14ac:dyDescent="0.25">
      <c r="A18" s="3" t="s">
        <v>37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24</v>
      </c>
      <c r="Q18" s="1" t="s">
        <v>24</v>
      </c>
    </row>
    <row r="19" spans="1:17" x14ac:dyDescent="0.25">
      <c r="A19" s="16" t="s">
        <v>31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5" customHeight="1" x14ac:dyDescent="0.25">
      <c r="A20" s="12" t="s">
        <v>38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2022-04-26T05:18:36Z</cp:lastPrinted>
  <dcterms:created xsi:type="dcterms:W3CDTF">2018-10-29T04:00:14Z</dcterms:created>
  <dcterms:modified xsi:type="dcterms:W3CDTF">2025-01-24T09:16:41Z</dcterms:modified>
</cp:coreProperties>
</file>