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Lenovo\Desktop\Annual Report 2023-24\Airline Wise\STAR AIR\"/>
    </mc:Choice>
  </mc:AlternateContent>
  <bookViews>
    <workbookView xWindow="0" yWindow="0" windowWidth="11970" windowHeight="9495"/>
  </bookViews>
  <sheets>
    <sheet name="STAR AIR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17" i="1" l="1"/>
  <c r="H17" i="1"/>
  <c r="Q16" i="1"/>
  <c r="H16" i="1"/>
  <c r="Q15" i="1"/>
  <c r="H15" i="1"/>
  <c r="Q14" i="1"/>
  <c r="H14" i="1"/>
  <c r="Q13" i="1"/>
  <c r="H13" i="1"/>
  <c r="Q12" i="1"/>
  <c r="H12" i="1"/>
  <c r="Q11" i="1"/>
  <c r="H11" i="1"/>
  <c r="Q10" i="1"/>
  <c r="H10" i="1"/>
  <c r="Q9" i="1"/>
  <c r="H9" i="1"/>
  <c r="Q8" i="1"/>
  <c r="H8" i="1"/>
  <c r="Q7" i="1"/>
  <c r="H7" i="1"/>
  <c r="Q6" i="1"/>
  <c r="H6" i="1"/>
  <c r="B18" i="1"/>
  <c r="C18" i="1"/>
  <c r="D18" i="1"/>
  <c r="E18" i="1"/>
  <c r="F18" i="1"/>
  <c r="G18" i="1"/>
  <c r="H18" i="1" s="1"/>
  <c r="L18" i="1"/>
  <c r="O18" i="1"/>
  <c r="P18" i="1"/>
  <c r="Q18" i="1" l="1"/>
</calcChain>
</file>

<file path=xl/sharedStrings.xml><?xml version="1.0" encoding="utf-8"?>
<sst xmlns="http://schemas.openxmlformats.org/spreadsheetml/2006/main" count="26" uniqueCount="24">
  <si>
    <t xml:space="preserve">तालिका 1.03 (स्टार एयर) </t>
  </si>
  <si>
    <t>Table 1.03 (STAR AIR)</t>
  </si>
  <si>
    <t>MONTH</t>
  </si>
  <si>
    <t>AIRCRAFT FLOWN</t>
  </si>
  <si>
    <t xml:space="preserve">    PASSENGERS</t>
  </si>
  <si>
    <t>AVAILABLE SEAT KILOMETERS (MILLION)</t>
  </si>
  <si>
    <t xml:space="preserve"> PAX. LOAD FACTOR (%)</t>
  </si>
  <si>
    <t xml:space="preserve"> CARGO CARRIED (TON)</t>
  </si>
  <si>
    <t xml:space="preserve">    TON  KMS. PERFORMED (MILLION)</t>
  </si>
  <si>
    <t>AVAILABLE TONNE KILOMETERS (MILLION)</t>
  </si>
  <si>
    <t xml:space="preserve"> WEIGHT LOAD FACTOR (%)</t>
  </si>
  <si>
    <t>DEPARTURES (NOS.)</t>
  </si>
  <si>
    <t>HOURS (NOS.)</t>
  </si>
  <si>
    <t xml:space="preserve">  KMS. (THOUSANDS)</t>
  </si>
  <si>
    <t>CARRIED (NOS.)</t>
  </si>
  <si>
    <t>KMS.PERFORMED (MILLION)</t>
  </si>
  <si>
    <t xml:space="preserve"> FREIGHT </t>
  </si>
  <si>
    <t xml:space="preserve"> MAIL</t>
  </si>
  <si>
    <t xml:space="preserve"> TOTAL</t>
  </si>
  <si>
    <t xml:space="preserve"> PAX.</t>
  </si>
  <si>
    <t>FREIGHT</t>
  </si>
  <si>
    <t>SOURCE:-  ICAO ATR FORM 'A' FURNISHED BY STAR AIR</t>
  </si>
  <si>
    <t>MONTHLY TRAFFIC AND OPERATING STATISTICS OF STAR AIR ON SCHEDULED (DOMESTIC + INTERNATIONAL) SERVICES DURING 2023-24</t>
  </si>
  <si>
    <t>2023-24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</si>
</sst>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3" formatCode="_(* #,##0.00_);_(* \(#,##0.00\);_(* &quot;-&quot;??_);_(@_)"/>
    <numFmt numFmtId="164" formatCode="_(* #,##0.0_);_(* \(#,##0.0\);_(* &quot;-&quot;??_);_(@_)"/>
    <numFmt numFmtId="165" formatCode="#,##0.0"/>
    <numFmt numFmtId="166" formatCode="_(* #,##0_);_(* \(#,##0\);_(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4" tint="0.59999389629810485"/>
        <bgColor indexed="65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3" fillId="2" borderId="0" applyNumberFormat="0" applyBorder="0" applyAlignment="0" applyProtection="0"/>
    <xf numFmtId="0" fontId="1" fillId="3" borderId="0" applyNumberFormat="0" applyBorder="0" applyAlignment="0" applyProtection="0"/>
  </cellStyleXfs>
  <cellXfs count="23">
    <xf numFmtId="0" fontId="0" fillId="0" borderId="0" xfId="0"/>
    <xf numFmtId="17" fontId="1" fillId="3" borderId="1" xfId="3" applyNumberFormat="1" applyBorder="1" applyAlignment="1" applyProtection="1">
      <alignment horizontal="center" vertical="center" wrapText="1"/>
    </xf>
    <xf numFmtId="164" fontId="1" fillId="3" borderId="1" xfId="3" applyNumberFormat="1" applyBorder="1" applyAlignment="1">
      <alignment horizontal="center" vertical="center"/>
    </xf>
    <xf numFmtId="164" fontId="0" fillId="0" borderId="1" xfId="1" applyNumberFormat="1" applyFont="1" applyBorder="1" applyAlignment="1">
      <alignment horizontal="center" vertical="center"/>
    </xf>
    <xf numFmtId="0" fontId="2" fillId="3" borderId="1" xfId="3" applyFont="1" applyBorder="1" applyAlignment="1" applyProtection="1">
      <alignment horizontal="center" vertical="center" wrapText="1"/>
    </xf>
    <xf numFmtId="3" fontId="2" fillId="3" borderId="1" xfId="3" applyNumberFormat="1" applyFont="1" applyBorder="1" applyAlignment="1" applyProtection="1">
      <alignment horizontal="center" vertical="center" wrapText="1"/>
    </xf>
    <xf numFmtId="165" fontId="2" fillId="3" borderId="1" xfId="3" applyNumberFormat="1" applyFont="1" applyBorder="1" applyAlignment="1" applyProtection="1">
      <alignment horizontal="right" vertical="center" wrapText="1"/>
    </xf>
    <xf numFmtId="165" fontId="2" fillId="3" borderId="1" xfId="3" applyNumberFormat="1" applyFont="1" applyBorder="1" applyAlignment="1" applyProtection="1">
      <alignment vertical="center" wrapText="1"/>
    </xf>
    <xf numFmtId="0" fontId="4" fillId="2" borderId="1" xfId="2" applyFont="1" applyBorder="1" applyAlignment="1" applyProtection="1">
      <alignment horizontal="center" vertical="center" textRotation="90" wrapText="1"/>
    </xf>
    <xf numFmtId="166" fontId="1" fillId="3" borderId="1" xfId="3" applyNumberFormat="1" applyBorder="1" applyAlignment="1">
      <alignment horizontal="center" vertical="center"/>
    </xf>
    <xf numFmtId="166" fontId="0" fillId="0" borderId="1" xfId="1" applyNumberFormat="1" applyFont="1" applyBorder="1" applyAlignment="1">
      <alignment horizontal="center" vertical="center"/>
    </xf>
    <xf numFmtId="17" fontId="1" fillId="5" borderId="1" xfId="3" applyNumberFormat="1" applyFill="1" applyBorder="1" applyAlignment="1" applyProtection="1">
      <alignment horizontal="center" vertical="center" wrapText="1"/>
    </xf>
    <xf numFmtId="164" fontId="2" fillId="3" borderId="1" xfId="3" applyNumberFormat="1" applyFont="1" applyBorder="1" applyAlignment="1">
      <alignment horizontal="center" vertical="center"/>
    </xf>
    <xf numFmtId="0" fontId="4" fillId="2" borderId="1" xfId="2" applyFont="1" applyBorder="1" applyAlignment="1" applyProtection="1">
      <alignment horizontal="center" vertical="center" textRotation="90" wrapText="1"/>
    </xf>
    <xf numFmtId="0" fontId="4" fillId="2" borderId="1" xfId="2" applyFont="1" applyBorder="1" applyAlignment="1">
      <alignment textRotation="90"/>
    </xf>
    <xf numFmtId="0" fontId="5" fillId="4" borderId="2" xfId="0" applyFont="1" applyFill="1" applyBorder="1" applyAlignment="1" applyProtection="1">
      <alignment horizontal="left" vertical="center" wrapText="1"/>
    </xf>
    <xf numFmtId="0" fontId="5" fillId="4" borderId="3" xfId="0" applyFont="1" applyFill="1" applyBorder="1" applyAlignment="1" applyProtection="1">
      <alignment horizontal="left" vertical="center" wrapText="1"/>
    </xf>
    <xf numFmtId="0" fontId="5" fillId="4" borderId="4" xfId="0" applyFont="1" applyFill="1" applyBorder="1" applyAlignment="1" applyProtection="1">
      <alignment horizontal="left" vertical="center" wrapText="1"/>
    </xf>
    <xf numFmtId="0" fontId="4" fillId="3" borderId="1" xfId="3" applyFont="1" applyBorder="1" applyAlignment="1">
      <alignment horizontal="center" vertical="center" wrapText="1"/>
    </xf>
    <xf numFmtId="0" fontId="4" fillId="3" borderId="1" xfId="3" quotePrefix="1" applyFont="1" applyBorder="1" applyAlignment="1" applyProtection="1">
      <alignment horizontal="center" vertical="center" wrapText="1"/>
    </xf>
    <xf numFmtId="0" fontId="4" fillId="3" borderId="1" xfId="3" applyFont="1" applyBorder="1"/>
    <xf numFmtId="0" fontId="4" fillId="2" borderId="1" xfId="2" applyFont="1" applyBorder="1" applyAlignment="1" applyProtection="1">
      <alignment horizontal="center" vertical="center" wrapText="1"/>
    </xf>
    <xf numFmtId="0" fontId="4" fillId="2" borderId="1" xfId="2" applyFont="1" applyBorder="1"/>
  </cellXfs>
  <cellStyles count="4">
    <cellStyle name="40% - Accent1" xfId="3" builtinId="31"/>
    <cellStyle name="Accent1" xfId="2" builtinId="29"/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19"/>
  <sheetViews>
    <sheetView tabSelected="1" view="pageBreakPreview" topLeftCell="A6" zoomScale="115" zoomScaleNormal="100" zoomScaleSheetLayoutView="115" workbookViewId="0">
      <selection activeCell="L24" sqref="L24"/>
    </sheetView>
  </sheetViews>
  <sheetFormatPr defaultRowHeight="18.600000000000001" customHeight="1" x14ac:dyDescent="0.25"/>
  <cols>
    <col min="1" max="1" width="11.7109375" customWidth="1"/>
    <col min="2" max="4" width="8.140625" customWidth="1"/>
    <col min="5" max="5" width="10.85546875" customWidth="1"/>
    <col min="6" max="6" width="11.28515625" customWidth="1"/>
    <col min="7" max="7" width="10.5703125" customWidth="1"/>
    <col min="8" max="11" width="8.140625" customWidth="1"/>
    <col min="12" max="12" width="9.28515625" customWidth="1"/>
    <col min="13" max="14" width="8.140625" customWidth="1"/>
    <col min="15" max="15" width="8.5703125" customWidth="1"/>
    <col min="16" max="16" width="9" customWidth="1"/>
    <col min="17" max="17" width="8.140625" customWidth="1"/>
  </cols>
  <sheetData>
    <row r="1" spans="1:17" ht="18.600000000000001" customHeight="1" x14ac:dyDescent="0.25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</row>
    <row r="2" spans="1:17" ht="18.600000000000001" customHeight="1" x14ac:dyDescent="0.25">
      <c r="A2" s="19" t="s">
        <v>1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</row>
    <row r="3" spans="1:17" ht="25.5" customHeight="1" x14ac:dyDescent="0.25">
      <c r="A3" s="21" t="s">
        <v>22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</row>
    <row r="4" spans="1:17" ht="36.75" customHeight="1" x14ac:dyDescent="0.25">
      <c r="A4" s="21" t="s">
        <v>2</v>
      </c>
      <c r="B4" s="21" t="s">
        <v>3</v>
      </c>
      <c r="C4" s="21"/>
      <c r="D4" s="21"/>
      <c r="E4" s="21" t="s">
        <v>4</v>
      </c>
      <c r="F4" s="22"/>
      <c r="G4" s="13" t="s">
        <v>5</v>
      </c>
      <c r="H4" s="13" t="s">
        <v>6</v>
      </c>
      <c r="I4" s="21" t="s">
        <v>7</v>
      </c>
      <c r="J4" s="21"/>
      <c r="K4" s="21"/>
      <c r="L4" s="21" t="s">
        <v>8</v>
      </c>
      <c r="M4" s="21"/>
      <c r="N4" s="21"/>
      <c r="O4" s="21"/>
      <c r="P4" s="13" t="s">
        <v>9</v>
      </c>
      <c r="Q4" s="13" t="s">
        <v>10</v>
      </c>
    </row>
    <row r="5" spans="1:17" ht="100.9" customHeight="1" x14ac:dyDescent="0.25">
      <c r="A5" s="21"/>
      <c r="B5" s="8" t="s">
        <v>11</v>
      </c>
      <c r="C5" s="8" t="s">
        <v>12</v>
      </c>
      <c r="D5" s="8" t="s">
        <v>13</v>
      </c>
      <c r="E5" s="8" t="s">
        <v>14</v>
      </c>
      <c r="F5" s="8" t="s">
        <v>15</v>
      </c>
      <c r="G5" s="14"/>
      <c r="H5" s="14"/>
      <c r="I5" s="8" t="s">
        <v>16</v>
      </c>
      <c r="J5" s="8" t="s">
        <v>17</v>
      </c>
      <c r="K5" s="8" t="s">
        <v>18</v>
      </c>
      <c r="L5" s="8" t="s">
        <v>19</v>
      </c>
      <c r="M5" s="8" t="s">
        <v>20</v>
      </c>
      <c r="N5" s="8" t="s">
        <v>17</v>
      </c>
      <c r="O5" s="8" t="s">
        <v>18</v>
      </c>
      <c r="P5" s="14"/>
      <c r="Q5" s="14"/>
    </row>
    <row r="6" spans="1:17" ht="18.600000000000001" customHeight="1" x14ac:dyDescent="0.25">
      <c r="A6" s="1">
        <v>45017</v>
      </c>
      <c r="B6" s="9">
        <v>504</v>
      </c>
      <c r="C6" s="9">
        <v>677.74</v>
      </c>
      <c r="D6" s="9">
        <v>341.86099999999999</v>
      </c>
      <c r="E6" s="9">
        <v>18907</v>
      </c>
      <c r="F6" s="2">
        <v>12.857126000000001</v>
      </c>
      <c r="G6" s="2">
        <v>17.093049999999998</v>
      </c>
      <c r="H6" s="2">
        <f t="shared" ref="H6:H14" si="0">F6/G6*100</f>
        <v>75.218442583389162</v>
      </c>
      <c r="I6" s="2"/>
      <c r="J6" s="2"/>
      <c r="K6" s="2"/>
      <c r="L6" s="2">
        <v>1.1571413399999999</v>
      </c>
      <c r="M6" s="2"/>
      <c r="N6" s="2"/>
      <c r="O6" s="2">
        <v>1.1571413399999999</v>
      </c>
      <c r="P6" s="2">
        <v>1.5383744999999995</v>
      </c>
      <c r="Q6" s="2">
        <f t="shared" ref="Q6" si="1">O6/P6*100</f>
        <v>75.218442583389162</v>
      </c>
    </row>
    <row r="7" spans="1:17" ht="18.600000000000001" customHeight="1" x14ac:dyDescent="0.25">
      <c r="A7" s="11">
        <v>45047</v>
      </c>
      <c r="B7" s="10">
        <v>587</v>
      </c>
      <c r="C7" s="10">
        <v>795</v>
      </c>
      <c r="D7" s="10">
        <v>394.44</v>
      </c>
      <c r="E7" s="10">
        <v>25597</v>
      </c>
      <c r="F7" s="3">
        <v>17.772258999999995</v>
      </c>
      <c r="G7" s="3">
        <v>21.881</v>
      </c>
      <c r="H7" s="3">
        <f t="shared" si="0"/>
        <v>81.222334445409246</v>
      </c>
      <c r="I7" s="3"/>
      <c r="J7" s="3"/>
      <c r="K7" s="3"/>
      <c r="L7" s="3">
        <v>1.59950331</v>
      </c>
      <c r="M7" s="3"/>
      <c r="N7" s="3"/>
      <c r="O7" s="3">
        <v>1.59950331</v>
      </c>
      <c r="P7" s="3">
        <v>1.9692467999999994</v>
      </c>
      <c r="Q7" s="3">
        <f>O7/P7*100</f>
        <v>81.224116245866213</v>
      </c>
    </row>
    <row r="8" spans="1:17" ht="18.600000000000001" customHeight="1" x14ac:dyDescent="0.25">
      <c r="A8" s="1">
        <v>45078</v>
      </c>
      <c r="B8" s="9">
        <v>639</v>
      </c>
      <c r="C8" s="9">
        <v>895</v>
      </c>
      <c r="D8" s="9">
        <v>427.34100000000001</v>
      </c>
      <c r="E8" s="9">
        <v>24554</v>
      </c>
      <c r="F8" s="2">
        <v>16.919648000000002</v>
      </c>
      <c r="G8" s="2">
        <v>23.468149</v>
      </c>
      <c r="H8" s="2">
        <f t="shared" si="0"/>
        <v>72.096218581192758</v>
      </c>
      <c r="I8" s="2"/>
      <c r="J8" s="2"/>
      <c r="K8" s="2"/>
      <c r="L8" s="2">
        <v>1.5227683200000002</v>
      </c>
      <c r="M8" s="2"/>
      <c r="N8" s="2"/>
      <c r="O8" s="2">
        <v>1.5227683200000002</v>
      </c>
      <c r="P8" s="2">
        <v>2.1121334100000002</v>
      </c>
      <c r="Q8" s="2">
        <f t="shared" ref="Q8:Q14" si="2">O8/P8*100</f>
        <v>72.096218581192744</v>
      </c>
    </row>
    <row r="9" spans="1:17" ht="18.600000000000001" customHeight="1" x14ac:dyDescent="0.25">
      <c r="A9" s="11">
        <v>45108</v>
      </c>
      <c r="B9" s="10">
        <v>718</v>
      </c>
      <c r="C9" s="10">
        <v>1011</v>
      </c>
      <c r="D9" s="10">
        <v>481.25099999999998</v>
      </c>
      <c r="E9" s="10">
        <v>28405</v>
      </c>
      <c r="F9" s="3">
        <v>19.496293000000001</v>
      </c>
      <c r="G9" s="3">
        <v>27.522629999999999</v>
      </c>
      <c r="H9" s="3">
        <f t="shared" si="0"/>
        <v>70.837318235938938</v>
      </c>
      <c r="I9" s="3"/>
      <c r="J9" s="3"/>
      <c r="K9" s="3"/>
      <c r="L9" s="3">
        <v>1.7546663699999996</v>
      </c>
      <c r="M9" s="3"/>
      <c r="N9" s="3"/>
      <c r="O9" s="3">
        <v>1.7546663699999996</v>
      </c>
      <c r="P9" s="3">
        <v>2.4770366999999998</v>
      </c>
      <c r="Q9" s="3">
        <f t="shared" si="2"/>
        <v>70.837318235938923</v>
      </c>
    </row>
    <row r="10" spans="1:17" ht="18.600000000000001" customHeight="1" x14ac:dyDescent="0.25">
      <c r="A10" s="1">
        <v>45139</v>
      </c>
      <c r="B10" s="9">
        <v>743</v>
      </c>
      <c r="C10" s="9">
        <v>1040</v>
      </c>
      <c r="D10" s="9">
        <v>486.322</v>
      </c>
      <c r="E10" s="9">
        <v>31538</v>
      </c>
      <c r="F10" s="2">
        <v>21.696698000000001</v>
      </c>
      <c r="G10" s="2">
        <v>28.193818</v>
      </c>
      <c r="H10" s="2">
        <f t="shared" si="0"/>
        <v>76.955515567277914</v>
      </c>
      <c r="I10" s="2"/>
      <c r="J10" s="2"/>
      <c r="K10" s="2"/>
      <c r="L10" s="2">
        <v>1.9527028200000001</v>
      </c>
      <c r="M10" s="2"/>
      <c r="N10" s="2"/>
      <c r="O10" s="2">
        <v>1.9527028200000001</v>
      </c>
      <c r="P10" s="2">
        <v>2.5374436199999999</v>
      </c>
      <c r="Q10" s="2">
        <f t="shared" si="2"/>
        <v>76.955515567277914</v>
      </c>
    </row>
    <row r="11" spans="1:17" ht="18.600000000000001" customHeight="1" x14ac:dyDescent="0.25">
      <c r="A11" s="11">
        <v>45170</v>
      </c>
      <c r="B11" s="10">
        <v>667</v>
      </c>
      <c r="C11" s="10">
        <v>941</v>
      </c>
      <c r="D11" s="10">
        <v>451.01499999999999</v>
      </c>
      <c r="E11" s="10">
        <v>25965</v>
      </c>
      <c r="F11" s="3">
        <v>18.810917</v>
      </c>
      <c r="G11" s="3">
        <v>25.766664000000002</v>
      </c>
      <c r="H11" s="3">
        <f t="shared" si="0"/>
        <v>73.004860078122633</v>
      </c>
      <c r="I11" s="3"/>
      <c r="J11" s="3"/>
      <c r="K11" s="3"/>
      <c r="L11" s="3">
        <v>1.6929825300000001</v>
      </c>
      <c r="M11" s="3"/>
      <c r="N11" s="3"/>
      <c r="O11" s="3">
        <v>1.6929825300000001</v>
      </c>
      <c r="P11" s="3">
        <v>2.318999760000001</v>
      </c>
      <c r="Q11" s="3">
        <f t="shared" si="2"/>
        <v>73.004860078122618</v>
      </c>
    </row>
    <row r="12" spans="1:17" ht="18.600000000000001" customHeight="1" x14ac:dyDescent="0.25">
      <c r="A12" s="1">
        <v>45200</v>
      </c>
      <c r="B12" s="9">
        <v>818</v>
      </c>
      <c r="C12" s="9">
        <v>1150</v>
      </c>
      <c r="D12" s="9">
        <v>527.25900000000001</v>
      </c>
      <c r="E12" s="9">
        <v>35635</v>
      </c>
      <c r="F12" s="2">
        <v>23.643862000000002</v>
      </c>
      <c r="G12" s="2">
        <v>31.23565</v>
      </c>
      <c r="H12" s="2">
        <f t="shared" si="0"/>
        <v>75.695117598001005</v>
      </c>
      <c r="I12" s="2"/>
      <c r="J12" s="2"/>
      <c r="K12" s="2"/>
      <c r="L12" s="2">
        <v>2.127948</v>
      </c>
      <c r="M12" s="2"/>
      <c r="N12" s="2"/>
      <c r="O12" s="2">
        <v>2.127948</v>
      </c>
      <c r="P12" s="2">
        <v>2.8111815000000009</v>
      </c>
      <c r="Q12" s="2">
        <f t="shared" si="2"/>
        <v>75.695859552291424</v>
      </c>
    </row>
    <row r="13" spans="1:17" ht="18.600000000000001" customHeight="1" x14ac:dyDescent="0.25">
      <c r="A13" s="11">
        <v>45231</v>
      </c>
      <c r="B13" s="10">
        <v>887</v>
      </c>
      <c r="C13" s="10">
        <v>1233</v>
      </c>
      <c r="D13" s="10">
        <v>558.03</v>
      </c>
      <c r="E13" s="10">
        <v>41018</v>
      </c>
      <c r="F13" s="3">
        <v>26.464043</v>
      </c>
      <c r="G13" s="3">
        <v>34.069375999999998</v>
      </c>
      <c r="H13" s="3">
        <f t="shared" si="0"/>
        <v>77.676923111242189</v>
      </c>
      <c r="I13" s="3"/>
      <c r="J13" s="3"/>
      <c r="K13" s="3"/>
      <c r="L13" s="3">
        <v>2.3817638700000003</v>
      </c>
      <c r="M13" s="3"/>
      <c r="N13" s="3"/>
      <c r="O13" s="3">
        <v>2.3817638700000003</v>
      </c>
      <c r="P13" s="3">
        <v>3.0662438400000003</v>
      </c>
      <c r="Q13" s="3">
        <f t="shared" si="2"/>
        <v>77.676923111242189</v>
      </c>
    </row>
    <row r="14" spans="1:17" ht="18.600000000000001" customHeight="1" x14ac:dyDescent="0.25">
      <c r="A14" s="1">
        <v>45261</v>
      </c>
      <c r="B14" s="9">
        <v>969</v>
      </c>
      <c r="C14" s="9">
        <v>1312.8333333333333</v>
      </c>
      <c r="D14" s="9">
        <v>592.57899999999995</v>
      </c>
      <c r="E14" s="9">
        <v>48813</v>
      </c>
      <c r="F14" s="2">
        <v>30.469666</v>
      </c>
      <c r="G14" s="2">
        <v>36.665122000000004</v>
      </c>
      <c r="H14" s="2">
        <f t="shared" si="0"/>
        <v>83.102589976381353</v>
      </c>
      <c r="I14" s="2"/>
      <c r="J14" s="2"/>
      <c r="K14" s="2"/>
      <c r="L14" s="2">
        <v>2.74227</v>
      </c>
      <c r="M14" s="2"/>
      <c r="N14" s="2"/>
      <c r="O14" s="2">
        <v>2.74227</v>
      </c>
      <c r="P14" s="2">
        <v>3.2998609800000001</v>
      </c>
      <c r="Q14" s="2">
        <f t="shared" si="2"/>
        <v>83.102591794639778</v>
      </c>
    </row>
    <row r="15" spans="1:17" ht="18.600000000000001" customHeight="1" x14ac:dyDescent="0.25">
      <c r="A15" s="11">
        <v>45292</v>
      </c>
      <c r="B15" s="10">
        <v>1009</v>
      </c>
      <c r="C15" s="10">
        <v>1340</v>
      </c>
      <c r="D15" s="10">
        <v>614.29700000000003</v>
      </c>
      <c r="E15" s="10">
        <v>46974</v>
      </c>
      <c r="F15" s="3">
        <v>29.27158</v>
      </c>
      <c r="G15" s="3">
        <v>38.275728000000001</v>
      </c>
      <c r="H15" s="3">
        <f>F15/G15*100</f>
        <v>76.475566970274215</v>
      </c>
      <c r="I15" s="3"/>
      <c r="J15" s="3"/>
      <c r="K15" s="3"/>
      <c r="L15" s="3">
        <v>2.6344422000000001</v>
      </c>
      <c r="M15" s="3"/>
      <c r="N15" s="3"/>
      <c r="O15" s="3">
        <v>2.6344422000000001</v>
      </c>
      <c r="P15" s="3">
        <v>3.4448155200000006</v>
      </c>
      <c r="Q15" s="3">
        <f>O15/P15*100</f>
        <v>76.475566970274201</v>
      </c>
    </row>
    <row r="16" spans="1:17" ht="18.600000000000001" customHeight="1" x14ac:dyDescent="0.25">
      <c r="A16" s="1">
        <v>45323</v>
      </c>
      <c r="B16" s="9">
        <v>988</v>
      </c>
      <c r="C16" s="9">
        <v>1394.0833333333333</v>
      </c>
      <c r="D16" s="9">
        <v>604.85900000000004</v>
      </c>
      <c r="E16" s="9">
        <v>47163</v>
      </c>
      <c r="F16" s="2">
        <v>29.669570999999998</v>
      </c>
      <c r="G16" s="2">
        <v>38.664323999999993</v>
      </c>
      <c r="H16" s="2">
        <f t="shared" ref="H16:H17" si="3">F16/G16*100</f>
        <v>76.736298299176269</v>
      </c>
      <c r="I16" s="2"/>
      <c r="J16" s="2"/>
      <c r="K16" s="2"/>
      <c r="L16" s="2">
        <v>2.6702613900000007</v>
      </c>
      <c r="M16" s="2"/>
      <c r="N16" s="2"/>
      <c r="O16" s="2">
        <v>2.6702613900000007</v>
      </c>
      <c r="P16" s="2">
        <v>3.4797891599999988</v>
      </c>
      <c r="Q16" s="2">
        <f t="shared" ref="Q16:Q17" si="4">O16/P16*100</f>
        <v>76.736298299176312</v>
      </c>
    </row>
    <row r="17" spans="1:17" ht="18.600000000000001" customHeight="1" x14ac:dyDescent="0.25">
      <c r="A17" s="11">
        <v>45352</v>
      </c>
      <c r="B17" s="10">
        <v>1066</v>
      </c>
      <c r="C17" s="10">
        <v>1523.75</v>
      </c>
      <c r="D17" s="10">
        <v>655.75099999999895</v>
      </c>
      <c r="E17" s="10">
        <v>43270</v>
      </c>
      <c r="F17" s="3">
        <v>27.502297999999989</v>
      </c>
      <c r="G17" s="3">
        <v>41.939212000000012</v>
      </c>
      <c r="H17" s="3">
        <f t="shared" si="3"/>
        <v>65.576573064844382</v>
      </c>
      <c r="I17" s="3"/>
      <c r="J17" s="3"/>
      <c r="K17" s="3"/>
      <c r="L17" s="3">
        <v>2.4752068200000004</v>
      </c>
      <c r="M17" s="3"/>
      <c r="N17" s="3"/>
      <c r="O17" s="3">
        <v>2.4752068200000004</v>
      </c>
      <c r="P17" s="3">
        <v>3.7745290799999993</v>
      </c>
      <c r="Q17" s="3">
        <f t="shared" si="4"/>
        <v>65.576573064844439</v>
      </c>
    </row>
    <row r="18" spans="1:17" ht="18.600000000000001" customHeight="1" x14ac:dyDescent="0.25">
      <c r="A18" s="4" t="s">
        <v>23</v>
      </c>
      <c r="B18" s="5">
        <f>SUM(B6:B17)</f>
        <v>9595</v>
      </c>
      <c r="C18" s="5">
        <f t="shared" ref="C18:G18" si="5">SUM(C6:C17)</f>
        <v>13313.406666666668</v>
      </c>
      <c r="D18" s="5">
        <f t="shared" si="5"/>
        <v>6135.0049999999983</v>
      </c>
      <c r="E18" s="5">
        <f t="shared" si="5"/>
        <v>417839</v>
      </c>
      <c r="F18" s="7">
        <f t="shared" si="5"/>
        <v>274.57396099999994</v>
      </c>
      <c r="G18" s="7">
        <f t="shared" si="5"/>
        <v>364.77472299999999</v>
      </c>
      <c r="H18" s="2">
        <f t="shared" ref="H18" si="6">F18/G18*100</f>
        <v>75.272200535671416</v>
      </c>
      <c r="I18" s="5"/>
      <c r="J18" s="5"/>
      <c r="K18" s="5"/>
      <c r="L18" s="6">
        <f t="shared" ref="L18:P18" si="7">SUM(L6:L17)</f>
        <v>24.71165697</v>
      </c>
      <c r="M18" s="5"/>
      <c r="N18" s="5"/>
      <c r="O18" s="6">
        <f t="shared" si="7"/>
        <v>24.71165697</v>
      </c>
      <c r="P18" s="6">
        <f t="shared" si="7"/>
        <v>32.829654869999992</v>
      </c>
      <c r="Q18" s="12">
        <f t="shared" ref="Q18" si="8">O18/P18*100</f>
        <v>75.272362953110772</v>
      </c>
    </row>
    <row r="19" spans="1:17" ht="18.600000000000001" customHeight="1" x14ac:dyDescent="0.25">
      <c r="A19" s="15" t="s">
        <v>21</v>
      </c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7"/>
    </row>
  </sheetData>
  <mergeCells count="13">
    <mergeCell ref="P4:P5"/>
    <mergeCell ref="Q4:Q5"/>
    <mergeCell ref="A19:Q19"/>
    <mergeCell ref="A1:Q1"/>
    <mergeCell ref="A2:Q2"/>
    <mergeCell ref="A3:Q3"/>
    <mergeCell ref="A4:A5"/>
    <mergeCell ref="B4:D4"/>
    <mergeCell ref="E4:F4"/>
    <mergeCell ref="G4:G5"/>
    <mergeCell ref="H4:H5"/>
    <mergeCell ref="I4:K4"/>
    <mergeCell ref="L4:O4"/>
  </mergeCells>
  <pageMargins left="0.7" right="0.7" top="0.75" bottom="0.75" header="0.3" footer="0.3"/>
  <pageSetup paperSize="9" scale="8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STAR AIR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Lenovo</cp:lastModifiedBy>
  <cp:lastPrinted>2023-11-09T11:01:36Z</cp:lastPrinted>
  <dcterms:created xsi:type="dcterms:W3CDTF">2020-06-03T10:41:53Z</dcterms:created>
  <dcterms:modified xsi:type="dcterms:W3CDTF">2025-01-24T07:00:13Z</dcterms:modified>
</cp:coreProperties>
</file>