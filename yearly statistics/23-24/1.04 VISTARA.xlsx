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VISTARA\"/>
    </mc:Choice>
  </mc:AlternateContent>
  <bookViews>
    <workbookView xWindow="0" yWindow="0" windowWidth="11250" windowHeight="9495"/>
  </bookViews>
  <sheets>
    <sheet name="VISTARA" sheetId="17" r:id="rId1"/>
  </sheets>
  <definedNames>
    <definedName name="_xlnm._FilterDatabase" localSheetId="0" hidden="1">VISTARA!$A$9:$Q$20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" i="17" l="1"/>
  <c r="Q13" i="17" s="1"/>
  <c r="H13" i="17"/>
  <c r="Q12" i="17"/>
  <c r="H12" i="17"/>
  <c r="Q11" i="17"/>
  <c r="H11" i="17"/>
  <c r="Q10" i="17"/>
  <c r="H10" i="17"/>
  <c r="Q9" i="17"/>
  <c r="H9" i="17"/>
  <c r="Q8" i="17"/>
  <c r="H8" i="17"/>
  <c r="Q7" i="17"/>
  <c r="H7" i="17"/>
  <c r="P17" i="17" l="1"/>
  <c r="M17" i="17"/>
  <c r="L17" i="17"/>
  <c r="K17" i="17"/>
  <c r="I17" i="17"/>
  <c r="G17" i="17"/>
  <c r="F17" i="17"/>
  <c r="E17" i="17"/>
  <c r="D17" i="17"/>
  <c r="C17" i="17"/>
  <c r="B17" i="17"/>
  <c r="O17" i="17" l="1"/>
  <c r="H17" i="17" l="1"/>
  <c r="Q17" i="17"/>
</calcChain>
</file>

<file path=xl/sharedStrings.xml><?xml version="1.0" encoding="utf-8"?>
<sst xmlns="http://schemas.openxmlformats.org/spreadsheetml/2006/main" count="55" uniqueCount="38">
  <si>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</si>
  <si>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</si>
  <si>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</si>
  <si>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</si>
  <si>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</si>
  <si>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</si>
  <si>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</si>
  <si>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</si>
  <si>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</si>
  <si>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</si>
  <si>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</si>
  <si>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</si>
  <si>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</si>
  <si>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</si>
  <si>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</si>
  <si>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</si>
  <si>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</si>
  <si>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</si>
  <si>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</si>
  <si>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</si>
  <si>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</si>
  <si>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</si>
  <si>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</si>
  <si>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</si>
  <si>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</si>
  <si>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</si>
  <si>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>तालिका - 1.04 (विस्तारा)</t>
  </si>
  <si>
    <t>TABLE - 1.04 (VISTARA)</t>
  </si>
  <si>
    <t>SOURCE: ICAO ATR FORM 'A' FURNISHED BY VISTARA</t>
  </si>
  <si>
    <t>2019-20</t>
  </si>
  <si>
    <t>YEAR ON YEAR GROWTH AND CAGR FOR LAST TEN YEARS OF VISTARA ON SCHEDULED DOMESTIC SERVICES (ALL AIR TRAFFIC AND OPERATING STATISTICS)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</si>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</sst>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\ mmmm/yy;@"/>
    <numFmt numFmtId="166" formatCode="_(* #,##0_);_(* \(#,##0\);_(* &quot;-&quot;??_);_(@_)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</cellStyleXfs>
  <cellXfs count="26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</xf>
    <xf numFmtId="164" fontId="7" fillId="2" borderId="1" xfId="4" applyNumberFormat="1" applyFont="1" applyFill="1" applyBorder="1" applyAlignment="1" applyProtection="1">
      <alignment horizontal="center"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4" fillId="6" borderId="1" xfId="3" applyFont="1" applyFill="1" applyBorder="1" applyAlignment="1" applyProtection="1">
      <alignment horizontal="center" vertical="center" wrapText="1"/>
    </xf>
    <xf numFmtId="10" fontId="0" fillId="6" borderId="1" xfId="0" applyNumberFormat="1" applyFill="1" applyBorder="1"/>
    <xf numFmtId="165" fontId="4" fillId="7" borderId="1" xfId="6" applyNumberFormat="1" applyFill="1" applyBorder="1" applyAlignment="1">
      <alignment horizontal="center" vertical="center"/>
    </xf>
    <xf numFmtId="166" fontId="4" fillId="9" borderId="1" xfId="7" applyNumberFormat="1" applyBorder="1" applyAlignment="1">
      <alignment horizontal="right" vertical="center"/>
    </xf>
    <xf numFmtId="167" fontId="0" fillId="9" borderId="1" xfId="7" applyNumberFormat="1" applyFont="1" applyBorder="1" applyAlignment="1">
      <alignment horizontal="center" vertical="center"/>
    </xf>
    <xf numFmtId="167" fontId="4" fillId="9" borderId="1" xfId="7" applyNumberFormat="1" applyBorder="1" applyAlignment="1">
      <alignment horizontal="right" vertical="center"/>
    </xf>
    <xf numFmtId="167" fontId="0" fillId="9" borderId="1" xfId="7" applyNumberFormat="1" applyFont="1" applyBorder="1" applyAlignment="1">
      <alignment horizontal="right" vertical="center"/>
    </xf>
    <xf numFmtId="165" fontId="4" fillId="10" borderId="1" xfId="6" applyNumberFormat="1" applyFill="1" applyBorder="1" applyAlignment="1">
      <alignment horizontal="center" vertical="center"/>
    </xf>
    <xf numFmtId="166" fontId="0" fillId="0" borderId="1" xfId="5" applyNumberFormat="1" applyFont="1" applyBorder="1" applyAlignment="1">
      <alignment horizontal="right" vertical="center"/>
    </xf>
    <xf numFmtId="167" fontId="0" fillId="0" borderId="1" xfId="5" applyNumberFormat="1" applyFont="1" applyBorder="1" applyAlignment="1">
      <alignment horizontal="right" vertical="center"/>
    </xf>
    <xf numFmtId="167" fontId="4" fillId="10" borderId="1" xfId="7" applyNumberFormat="1" applyFill="1" applyBorder="1" applyAlignment="1">
      <alignment horizontal="righ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1" xfId="1" applyFont="1" applyBorder="1" applyAlignment="1">
      <alignment horizontal="center" vertical="center" wrapText="1"/>
    </xf>
    <xf numFmtId="0" fontId="3" fillId="3" borderId="1" xfId="1" quotePrefix="1" applyFont="1" applyBorder="1" applyAlignment="1" applyProtection="1">
      <alignment horizontal="center" vertical="center" wrapText="1"/>
    </xf>
    <xf numFmtId="0" fontId="3" fillId="3" borderId="1" xfId="1" applyFont="1" applyBorder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8">
    <cellStyle name="20% - Accent2" xfId="3" builtinId="34"/>
    <cellStyle name="40% - Accent1" xfId="6" builtinId="31"/>
    <cellStyle name="40% - Accent2" xfId="7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A5" zoomScaleNormal="100" zoomScaleSheetLayoutView="100" workbookViewId="0">
      <selection activeCell="B14" sqref="B14"/>
    </sheetView>
  </sheetViews>
  <sheetFormatPr defaultRowHeight="15" x14ac:dyDescent="0.25"/>
  <cols>
    <col min="1" max="1" width="10.85546875" customWidth="1"/>
    <col min="2" max="2" width="8.42578125" customWidth="1"/>
    <col min="3" max="3" width="9.42578125" customWidth="1"/>
    <col min="4" max="4" width="8.28515625" customWidth="1"/>
    <col min="5" max="5" width="11.7109375" customWidth="1"/>
    <col min="6" max="6" width="9" customWidth="1"/>
    <col min="7" max="7" width="9.5703125" customWidth="1"/>
    <col min="8" max="8" width="8.42578125" customWidth="1"/>
    <col min="9" max="9" width="9.28515625" customWidth="1"/>
    <col min="10" max="10" width="11.28515625" customWidth="1"/>
    <col min="11" max="11" width="11" customWidth="1"/>
    <col min="12" max="12" width="9.85546875" customWidth="1"/>
    <col min="13" max="13" width="8.28515625" customWidth="1"/>
    <col min="14" max="14" width="4.85546875" customWidth="1"/>
    <col min="15" max="15" width="8.28515625" customWidth="1"/>
    <col min="16" max="16" width="8.5703125" customWidth="1"/>
    <col min="17" max="17" width="10.140625" customWidth="1"/>
  </cols>
  <sheetData>
    <row r="1" spans="1:17" x14ac:dyDescent="0.25">
      <c r="A1" s="21" t="s">
        <v>26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x14ac:dyDescent="0.25">
      <c r="A2" s="22" t="s">
        <v>27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30" customHeight="1" x14ac:dyDescent="0.25">
      <c r="A3" s="24" t="s">
        <v>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3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7" t="s">
        <v>3</v>
      </c>
      <c r="H4" s="17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7" t="s">
        <v>7</v>
      </c>
      <c r="Q4" s="17" t="s">
        <v>8</v>
      </c>
    </row>
    <row r="5" spans="1:17" ht="117.75" customHeight="1" x14ac:dyDescent="0.25">
      <c r="A5" s="24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18"/>
      <c r="H5" s="18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18"/>
      <c r="Q5" s="18"/>
    </row>
    <row r="6" spans="1:17" ht="17.100000000000001" customHeight="1" x14ac:dyDescent="0.25">
      <c r="A6" s="6" t="s">
        <v>19</v>
      </c>
      <c r="B6" s="7"/>
      <c r="C6" s="7"/>
      <c r="D6" s="7"/>
      <c r="E6" s="7"/>
      <c r="F6" s="7"/>
      <c r="G6" s="7"/>
      <c r="H6" s="8"/>
      <c r="I6" s="9"/>
      <c r="J6" s="9"/>
      <c r="K6" s="9"/>
      <c r="L6" s="9"/>
      <c r="M6" s="9"/>
      <c r="N6" s="9"/>
      <c r="O6" s="9"/>
      <c r="P6" s="9"/>
      <c r="Q6" s="10"/>
    </row>
    <row r="7" spans="1:17" ht="17.100000000000001" customHeight="1" x14ac:dyDescent="0.25">
      <c r="A7" s="11" t="s">
        <v>20</v>
      </c>
      <c r="B7" s="12">
        <v>1304</v>
      </c>
      <c r="C7" s="12">
        <v>1980.64</v>
      </c>
      <c r="D7" s="12">
        <v>1311</v>
      </c>
      <c r="E7" s="12">
        <v>100919</v>
      </c>
      <c r="F7" s="12">
        <v>104.248</v>
      </c>
      <c r="G7" s="12">
        <v>193.96</v>
      </c>
      <c r="H7" s="13">
        <f t="shared" ref="H7:H11" si="0">F7/G7*100</f>
        <v>53.747164363786347</v>
      </c>
      <c r="I7" s="13">
        <v>1957</v>
      </c>
      <c r="J7" s="13">
        <v>0</v>
      </c>
      <c r="K7" s="14">
        <v>1957</v>
      </c>
      <c r="L7" s="13">
        <v>7.8183809999999996</v>
      </c>
      <c r="M7" s="13">
        <v>2.1248180000000003</v>
      </c>
      <c r="N7" s="13">
        <v>0</v>
      </c>
      <c r="O7" s="13">
        <v>9.9431989999999999</v>
      </c>
      <c r="P7" s="13">
        <v>19.540830000000003</v>
      </c>
      <c r="Q7" s="13">
        <f t="shared" ref="Q7:Q12" si="1">O7/P7*100</f>
        <v>50.884220373443704</v>
      </c>
    </row>
    <row r="8" spans="1:17" ht="17.100000000000001" customHeight="1" x14ac:dyDescent="0.25">
      <c r="A8" s="6" t="s">
        <v>21</v>
      </c>
      <c r="B8" s="7">
        <v>13920</v>
      </c>
      <c r="C8" s="7">
        <v>20665.93</v>
      </c>
      <c r="D8" s="7">
        <v>14235</v>
      </c>
      <c r="E8" s="7">
        <v>1422611</v>
      </c>
      <c r="F8" s="7">
        <v>1462.2139999999999</v>
      </c>
      <c r="G8" s="7">
        <v>2107.0390000000002</v>
      </c>
      <c r="H8" s="8">
        <f t="shared" si="0"/>
        <v>69.396627210032648</v>
      </c>
      <c r="I8" s="9">
        <v>20414.741699999999</v>
      </c>
      <c r="J8" s="9">
        <v>0</v>
      </c>
      <c r="K8" s="9">
        <v>20414.741699999999</v>
      </c>
      <c r="L8" s="9">
        <v>109.66699999999999</v>
      </c>
      <c r="M8" s="9">
        <v>23.181415000000001</v>
      </c>
      <c r="N8" s="9">
        <v>0</v>
      </c>
      <c r="O8" s="9">
        <v>132.84841499999999</v>
      </c>
      <c r="P8" s="9">
        <v>213.54567000000003</v>
      </c>
      <c r="Q8" s="10">
        <f t="shared" si="1"/>
        <v>62.210774397813815</v>
      </c>
    </row>
    <row r="9" spans="1:17" ht="17.100000000000001" customHeight="1" x14ac:dyDescent="0.25">
      <c r="A9" s="11" t="s">
        <v>22</v>
      </c>
      <c r="B9" s="12">
        <v>23982</v>
      </c>
      <c r="C9" s="12">
        <v>40723.776000000005</v>
      </c>
      <c r="D9" s="12">
        <v>26343</v>
      </c>
      <c r="E9" s="12">
        <v>2926586</v>
      </c>
      <c r="F9" s="12">
        <v>3175.2959999999998</v>
      </c>
      <c r="G9" s="12">
        <v>4071.1559999999999</v>
      </c>
      <c r="H9" s="13">
        <f t="shared" si="0"/>
        <v>77.994947872299662</v>
      </c>
      <c r="I9" s="13">
        <v>31381</v>
      </c>
      <c r="J9" s="13">
        <v>0</v>
      </c>
      <c r="K9" s="14">
        <v>31381</v>
      </c>
      <c r="L9" s="13">
        <v>242.20099999999999</v>
      </c>
      <c r="M9" s="13">
        <v>33.417999999999999</v>
      </c>
      <c r="N9" s="13">
        <v>0</v>
      </c>
      <c r="O9" s="13">
        <v>275.61900000000003</v>
      </c>
      <c r="P9" s="13">
        <v>395.17099999999999</v>
      </c>
      <c r="Q9" s="13">
        <f t="shared" si="1"/>
        <v>69.746767854928635</v>
      </c>
    </row>
    <row r="10" spans="1:17" ht="17.100000000000001" customHeight="1" x14ac:dyDescent="0.25">
      <c r="A10" s="6" t="s">
        <v>23</v>
      </c>
      <c r="B10" s="7">
        <v>32823</v>
      </c>
      <c r="C10" s="7">
        <v>57063.286600000007</v>
      </c>
      <c r="D10" s="7">
        <v>37197</v>
      </c>
      <c r="E10" s="7">
        <v>4434987</v>
      </c>
      <c r="F10" s="7">
        <v>5048.6270000000004</v>
      </c>
      <c r="G10" s="7">
        <v>5877.7309999999998</v>
      </c>
      <c r="H10" s="8">
        <f t="shared" si="0"/>
        <v>85.89414860938686</v>
      </c>
      <c r="I10" s="9">
        <v>41388.8655</v>
      </c>
      <c r="J10" s="9">
        <v>0</v>
      </c>
      <c r="K10" s="9">
        <v>41388.8655</v>
      </c>
      <c r="L10" s="9">
        <v>378.64299999999997</v>
      </c>
      <c r="M10" s="9">
        <v>51.070999999999998</v>
      </c>
      <c r="N10" s="9">
        <v>0</v>
      </c>
      <c r="O10" s="9">
        <v>429.714</v>
      </c>
      <c r="P10" s="9">
        <v>558.01</v>
      </c>
      <c r="Q10" s="10">
        <f t="shared" si="1"/>
        <v>77.008297342341535</v>
      </c>
    </row>
    <row r="11" spans="1:17" ht="17.100000000000001" customHeight="1" x14ac:dyDescent="0.25">
      <c r="A11" s="11" t="s">
        <v>25</v>
      </c>
      <c r="B11" s="12">
        <v>40645</v>
      </c>
      <c r="C11" s="12">
        <v>72019.224999999991</v>
      </c>
      <c r="D11" s="12">
        <v>47251.866000000002</v>
      </c>
      <c r="E11" s="12">
        <v>5438275</v>
      </c>
      <c r="F11" s="12">
        <v>6371.8714829999999</v>
      </c>
      <c r="G11" s="12">
        <v>7563.5130140000001</v>
      </c>
      <c r="H11" s="13">
        <f t="shared" si="0"/>
        <v>84.244867050611518</v>
      </c>
      <c r="I11" s="13">
        <v>53703.477399999996</v>
      </c>
      <c r="J11" s="13">
        <v>0</v>
      </c>
      <c r="K11" s="14">
        <v>53703.477399999996</v>
      </c>
      <c r="L11" s="13">
        <v>557.06781009999997</v>
      </c>
      <c r="M11" s="13">
        <v>69.627595499999998</v>
      </c>
      <c r="N11" s="13">
        <v>0</v>
      </c>
      <c r="O11" s="13">
        <v>626.69540559999996</v>
      </c>
      <c r="P11" s="13">
        <v>795.26014060000011</v>
      </c>
      <c r="Q11" s="13">
        <f t="shared" si="1"/>
        <v>78.803824510452259</v>
      </c>
    </row>
    <row r="12" spans="1:17" ht="17.100000000000001" customHeight="1" x14ac:dyDescent="0.25">
      <c r="A12" s="6" t="s">
        <v>29</v>
      </c>
      <c r="B12" s="7">
        <v>60793</v>
      </c>
      <c r="C12" s="7">
        <v>99477.08666666667</v>
      </c>
      <c r="D12" s="7">
        <v>64558.156999999999</v>
      </c>
      <c r="E12" s="7">
        <v>8148986</v>
      </c>
      <c r="F12" s="7">
        <v>8711.7219379999988</v>
      </c>
      <c r="G12" s="7">
        <v>10651.602151000001</v>
      </c>
      <c r="H12" s="8">
        <f>F12/G12*100</f>
        <v>81.78790208740682</v>
      </c>
      <c r="I12" s="9">
        <v>24133.291260000002</v>
      </c>
      <c r="J12" s="9">
        <v>0</v>
      </c>
      <c r="K12" s="9">
        <v>24133.291260000002</v>
      </c>
      <c r="L12" s="9">
        <v>784.05497433000005</v>
      </c>
      <c r="M12" s="9">
        <v>30.342095361859997</v>
      </c>
      <c r="N12" s="9">
        <v>0</v>
      </c>
      <c r="O12" s="9">
        <v>814.39706969185988</v>
      </c>
      <c r="P12" s="9">
        <v>1077.6076608000008</v>
      </c>
      <c r="Q12" s="10">
        <f t="shared" si="1"/>
        <v>75.574543437011471</v>
      </c>
    </row>
    <row r="13" spans="1:17" ht="17.100000000000001" customHeight="1" x14ac:dyDescent="0.25">
      <c r="A13" s="11" t="s">
        <v>31</v>
      </c>
      <c r="B13" s="12">
        <v>30014</v>
      </c>
      <c r="C13" s="12">
        <v>47794.93</v>
      </c>
      <c r="D13" s="12">
        <v>33357.175000000003</v>
      </c>
      <c r="E13" s="12">
        <v>3371361</v>
      </c>
      <c r="F13" s="12">
        <v>3752.926109</v>
      </c>
      <c r="G13" s="12">
        <v>5585</v>
      </c>
      <c r="H13" s="13">
        <f>F13/G13*100</f>
        <v>67.196528361683079</v>
      </c>
      <c r="I13" s="13">
        <v>31527.971000000001</v>
      </c>
      <c r="J13" s="13"/>
      <c r="K13" s="14">
        <v>31527.971000000001</v>
      </c>
      <c r="L13" s="13">
        <v>337.76344525000002</v>
      </c>
      <c r="M13" s="13">
        <v>41.636489486000002</v>
      </c>
      <c r="N13" s="13"/>
      <c r="O13" s="13">
        <f>L13+M13</f>
        <v>379.39993473600003</v>
      </c>
      <c r="P13" s="13">
        <v>571.32760110000004</v>
      </c>
      <c r="Q13" s="13">
        <f>O13/P13*100</f>
        <v>66.406722518836133</v>
      </c>
    </row>
    <row r="14" spans="1:17" x14ac:dyDescent="0.25">
      <c r="A14" s="6" t="s">
        <v>32</v>
      </c>
      <c r="B14" s="7">
        <v>55071</v>
      </c>
      <c r="C14" s="7">
        <v>73543.650000000009</v>
      </c>
      <c r="D14" s="7">
        <v>61019.142</v>
      </c>
      <c r="E14" s="7">
        <v>6743071</v>
      </c>
      <c r="F14" s="7">
        <v>7487.3426459999991</v>
      </c>
      <c r="G14" s="7">
        <v>10222.954288000001</v>
      </c>
      <c r="H14" s="8">
        <v>73.240498148258951</v>
      </c>
      <c r="I14" s="9">
        <v>47246.355000000003</v>
      </c>
      <c r="J14" s="9">
        <v>1817.0475500000002</v>
      </c>
      <c r="K14" s="9">
        <v>49063.402549999999</v>
      </c>
      <c r="L14" s="9">
        <v>673.86076991999994</v>
      </c>
      <c r="M14" s="9">
        <v>61.390200477</v>
      </c>
      <c r="N14" s="9">
        <v>2.3117829679799993</v>
      </c>
      <c r="O14" s="9">
        <v>737.56275336497993</v>
      </c>
      <c r="P14" s="9">
        <v>1062.2826346000002</v>
      </c>
      <c r="Q14" s="10">
        <v>69.431875222426783</v>
      </c>
    </row>
    <row r="15" spans="1:17" x14ac:dyDescent="0.25">
      <c r="A15" s="11" t="s">
        <v>33</v>
      </c>
      <c r="B15" s="12">
        <v>85366</v>
      </c>
      <c r="C15" s="12">
        <v>139729.20666666667</v>
      </c>
      <c r="D15" s="12">
        <v>93248.516000000018</v>
      </c>
      <c r="E15" s="12">
        <v>12483163</v>
      </c>
      <c r="F15" s="12">
        <v>13716.569406000001</v>
      </c>
      <c r="G15" s="12">
        <v>15694.519498000001</v>
      </c>
      <c r="H15" s="13">
        <v>87.397192425979924</v>
      </c>
      <c r="I15" s="13">
        <v>61749.949234000007</v>
      </c>
      <c r="J15" s="13">
        <v>4831.5047000000013</v>
      </c>
      <c r="K15" s="14">
        <v>66581.45393399999</v>
      </c>
      <c r="L15" s="13">
        <v>1234.4910655500003</v>
      </c>
      <c r="M15" s="13">
        <v>78.307200475312513</v>
      </c>
      <c r="N15" s="13">
        <v>5.6161576904700015</v>
      </c>
      <c r="O15" s="13">
        <v>1318.414423715783</v>
      </c>
      <c r="P15" s="13">
        <v>1644.1976706680009</v>
      </c>
      <c r="Q15" s="13">
        <v>80.185883196157334</v>
      </c>
    </row>
    <row r="16" spans="1:17" x14ac:dyDescent="0.25">
      <c r="A16" s="6" t="s">
        <v>34</v>
      </c>
      <c r="B16" s="7">
        <v>92501</v>
      </c>
      <c r="C16" s="7">
        <v>150166.76666666663</v>
      </c>
      <c r="D16" s="7">
        <v>99471.4</v>
      </c>
      <c r="E16" s="7">
        <v>14381508</v>
      </c>
      <c r="F16" s="7">
        <v>15470.702175</v>
      </c>
      <c r="G16" s="7">
        <v>16849.049731999999</v>
      </c>
      <c r="H16" s="8">
        <v>91.819434455213113</v>
      </c>
      <c r="I16" s="9">
        <v>77829.407454</v>
      </c>
      <c r="J16" s="9">
        <v>5272.7505299999993</v>
      </c>
      <c r="K16" s="9">
        <v>83102.15798399999</v>
      </c>
      <c r="L16" s="9">
        <v>1380.3580072200002</v>
      </c>
      <c r="M16" s="9">
        <v>95.513398666240008</v>
      </c>
      <c r="N16" s="9">
        <v>6.3903239765217696</v>
      </c>
      <c r="O16" s="9">
        <v>1482.2617298627617</v>
      </c>
      <c r="P16" s="9">
        <v>1745.2392791839998</v>
      </c>
      <c r="Q16" s="10">
        <v>84.931719537953825</v>
      </c>
    </row>
    <row r="17" spans="1:17" ht="30" x14ac:dyDescent="0.25">
      <c r="A17" s="4" t="s">
        <v>35</v>
      </c>
      <c r="B17" s="5">
        <f t="shared" ref="B17:I17" si="2">(B16-B15)/B15</f>
        <v>8.3581285289225218E-2</v>
      </c>
      <c r="C17" s="5">
        <f t="shared" si="2"/>
        <v>7.4698484654675407E-2</v>
      </c>
      <c r="D17" s="5">
        <f t="shared" si="2"/>
        <v>6.6734402507810153E-2</v>
      </c>
      <c r="E17" s="5">
        <f t="shared" si="2"/>
        <v>0.15207243548770452</v>
      </c>
      <c r="F17" s="5">
        <f t="shared" si="2"/>
        <v>0.12788421922996973</v>
      </c>
      <c r="G17" s="5">
        <f t="shared" si="2"/>
        <v>7.3562636571774184E-2</v>
      </c>
      <c r="H17" s="5">
        <f t="shared" si="2"/>
        <v>5.0599360305293072E-2</v>
      </c>
      <c r="I17" s="5">
        <f t="shared" si="2"/>
        <v>0.26039629861179736</v>
      </c>
      <c r="J17" s="5"/>
      <c r="K17" s="5">
        <f>(K16-K15)/K15</f>
        <v>0.24812771536014266</v>
      </c>
      <c r="L17" s="5">
        <f>(L16-L15)/L15</f>
        <v>0.11815957663898699</v>
      </c>
      <c r="M17" s="5">
        <f>(M16-M15)/M15</f>
        <v>0.21972689722641789</v>
      </c>
      <c r="N17" s="5"/>
      <c r="O17" s="5">
        <f>(O16-O15)/O15</f>
        <v>0.12427602671790865</v>
      </c>
      <c r="P17" s="5">
        <f>(P16-P15)/P15</f>
        <v>6.1453443414104768E-2</v>
      </c>
      <c r="Q17" s="5">
        <f>(Q16-Q15)/Q15</f>
        <v>5.9185434550703062E-2</v>
      </c>
    </row>
    <row r="18" spans="1:17" ht="45" x14ac:dyDescent="0.25">
      <c r="A18" s="1" t="s">
        <v>36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</row>
    <row r="19" spans="1:17" x14ac:dyDescent="0.25">
      <c r="A19" s="19" t="s">
        <v>28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17" ht="27" customHeight="1" x14ac:dyDescent="0.25">
      <c r="A20" s="15" t="s">
        <v>37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2021-08-28T00:14:37Z</cp:lastPrinted>
  <dcterms:created xsi:type="dcterms:W3CDTF">2018-10-29T04:00:14Z</dcterms:created>
  <dcterms:modified xsi:type="dcterms:W3CDTF">2024-11-21T07:50:43Z</dcterms:modified>
</cp:coreProperties>
</file>