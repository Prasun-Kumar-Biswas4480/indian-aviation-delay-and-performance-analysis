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FLY91\"/>
    </mc:Choice>
  </mc:AlternateContent>
  <bookViews>
    <workbookView xWindow="0" yWindow="0" windowWidth="24000" windowHeight="11025"/>
  </bookViews>
  <sheets>
    <sheet name="FLY 9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<sst xmlns="http://schemas.openxmlformats.org/spreadsheetml/2006/main" count="26" uniqueCount="24">
  <si>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</si>
  <si>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</si>
  <si>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</si>
  <si>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</si>
  <si>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</si>
  <si>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</si>
  <si>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</si>
  <si>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</si>
  <si>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</si>
  <si>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</si>
  <si>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</si>
  <si>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</si>
  <si>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</si>
  <si>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</si>
  <si>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</si>
  <si>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</si>
  <si>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</si>
  <si>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</si>
  <si>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</si>
  <si>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1.03 (FLY 91)</t>
  </si>
  <si>
    <t>SOURCE:-  ICAO ATR FORM 'A' FURNISHED BY FLY 91</t>
  </si>
  <si>
    <t xml:space="preserve">तालिका 1.03 (फ्लाई 91 ) </t>
  </si>
  <si>
    <t>2023-24</t>
  </si>
  <si>
    <t>MONTHLY TRAFFIC AND OPERATING STATISTICS OF FLY 91 ON SCHEDULED (DOMESTIC + INTERNATIONAL)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</si>
</sst>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5" fontId="1" fillId="3" borderId="1" xfId="3" applyNumberFormat="1" applyBorder="1" applyAlignment="1">
      <alignment horizontal="center" vertical="center"/>
    </xf>
    <xf numFmtId="43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>
      <alignment horizontal="right" vertical="center"/>
    </xf>
    <xf numFmtId="164" fontId="2" fillId="3" borderId="1" xfId="3" applyNumberFormat="1" applyFont="1" applyBorder="1" applyAlignment="1">
      <alignment horizontal="center" vertical="center"/>
    </xf>
    <xf numFmtId="43" fontId="2" fillId="3" borderId="1" xfId="3" applyNumberFormat="1" applyFont="1" applyBorder="1" applyAlignment="1">
      <alignment horizontal="center" vertical="center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4" zoomScaleNormal="100" zoomScaleSheetLayoutView="130" workbookViewId="0">
      <selection activeCell="H18" sqref="H18"/>
    </sheetView>
  </sheetViews>
  <sheetFormatPr defaultRowHeight="18.600000000000001" customHeight="1" x14ac:dyDescent="0.25"/>
  <cols>
    <col min="1" max="1" width="17.5703125" customWidth="1"/>
    <col min="2" max="4" width="8.140625" customWidth="1"/>
    <col min="5" max="5" width="8.85546875" customWidth="1"/>
    <col min="6" max="10" width="8.140625" customWidth="1"/>
    <col min="11" max="11" width="13.42578125" customWidth="1"/>
    <col min="12" max="15" width="8.140625" customWidth="1"/>
    <col min="16" max="16" width="10.5703125" customWidth="1"/>
    <col min="17" max="17" width="12.42578125" customWidth="1"/>
  </cols>
  <sheetData>
    <row r="1" spans="1:17" ht="18.600000000000001" customHeight="1" x14ac:dyDescent="0.25">
      <c r="A1" s="19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00.15" customHeight="1" x14ac:dyDescent="0.25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ht="18.600000000000001" customHeight="1" x14ac:dyDescent="0.25">
      <c r="A6" s="12">
        <v>45017</v>
      </c>
      <c r="B6" s="1"/>
      <c r="C6" s="1"/>
      <c r="D6" s="1"/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.600000000000001" customHeight="1" x14ac:dyDescent="0.25">
      <c r="A7" s="13">
        <v>45047</v>
      </c>
      <c r="B7" s="2"/>
      <c r="C7" s="2"/>
      <c r="D7" s="2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8.600000000000001" customHeight="1" x14ac:dyDescent="0.25">
      <c r="A8" s="12">
        <v>45078</v>
      </c>
      <c r="B8" s="1"/>
      <c r="C8" s="1"/>
      <c r="D8" s="1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.600000000000001" customHeight="1" x14ac:dyDescent="0.25">
      <c r="A9" s="13">
        <v>45108</v>
      </c>
      <c r="B9" s="2"/>
      <c r="C9" s="2"/>
      <c r="D9" s="2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8.600000000000001" customHeight="1" x14ac:dyDescent="0.25">
      <c r="A10" s="12">
        <v>45139</v>
      </c>
      <c r="B10" s="1"/>
      <c r="C10" s="1"/>
      <c r="D10" s="1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.600000000000001" customHeight="1" x14ac:dyDescent="0.25">
      <c r="A11" s="13">
        <v>45170</v>
      </c>
      <c r="B11" s="2"/>
      <c r="C11" s="2"/>
      <c r="D11" s="2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8.600000000000001" customHeight="1" x14ac:dyDescent="0.25">
      <c r="A12" s="12">
        <v>45200</v>
      </c>
      <c r="B12" s="1"/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.600000000000001" customHeight="1" x14ac:dyDescent="0.25">
      <c r="A13" s="13">
        <v>45231</v>
      </c>
      <c r="B13" s="2"/>
      <c r="C13" s="2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8.600000000000001" customHeight="1" x14ac:dyDescent="0.25">
      <c r="A14" s="12">
        <v>45261</v>
      </c>
      <c r="B14" s="1"/>
      <c r="C14" s="1"/>
      <c r="D14" s="7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.600000000000001" customHeight="1" x14ac:dyDescent="0.25">
      <c r="A15" s="13">
        <v>45292</v>
      </c>
      <c r="B15" s="5"/>
      <c r="C15" s="5"/>
      <c r="D15" s="5"/>
      <c r="E15" s="5"/>
      <c r="F15" s="2"/>
      <c r="G15" s="2"/>
      <c r="H15" s="2"/>
      <c r="I15" s="6"/>
      <c r="J15" s="6"/>
      <c r="K15" s="6"/>
      <c r="L15" s="2"/>
      <c r="M15" s="2"/>
      <c r="N15" s="2"/>
      <c r="O15" s="2"/>
      <c r="P15" s="2"/>
      <c r="Q15" s="2"/>
    </row>
    <row r="16" spans="1:17" ht="18.600000000000001" customHeight="1" x14ac:dyDescent="0.25">
      <c r="A16" s="12">
        <v>45323</v>
      </c>
      <c r="B16" s="7"/>
      <c r="C16" s="7"/>
      <c r="D16" s="7"/>
      <c r="E16" s="7"/>
      <c r="F16" s="1"/>
      <c r="G16" s="1"/>
      <c r="H16" s="1"/>
      <c r="I16" s="8"/>
      <c r="J16" s="8"/>
      <c r="K16" s="8"/>
      <c r="L16" s="1"/>
      <c r="M16" s="1"/>
      <c r="N16" s="1"/>
      <c r="O16" s="1"/>
      <c r="P16" s="1"/>
      <c r="Q16" s="1"/>
    </row>
    <row r="17" spans="1:17" ht="18.600000000000001" customHeight="1" x14ac:dyDescent="0.25">
      <c r="A17" s="13">
        <v>45352</v>
      </c>
      <c r="B17" s="5">
        <v>38</v>
      </c>
      <c r="C17" s="5">
        <v>63</v>
      </c>
      <c r="D17" s="5">
        <v>19.937999999999999</v>
      </c>
      <c r="E17" s="5">
        <v>1351</v>
      </c>
      <c r="F17" s="2">
        <v>0.693496</v>
      </c>
      <c r="G17" s="2">
        <v>1.3956600000000001</v>
      </c>
      <c r="H17" s="2">
        <v>49.689465915767443</v>
      </c>
      <c r="I17" s="6">
        <v>0</v>
      </c>
      <c r="J17" s="6">
        <v>0</v>
      </c>
      <c r="K17" s="6">
        <v>0</v>
      </c>
      <c r="L17" s="2">
        <v>6.9349600000000011E-2</v>
      </c>
      <c r="M17" s="2">
        <v>0</v>
      </c>
      <c r="N17" s="2">
        <v>0</v>
      </c>
      <c r="O17" s="2">
        <v>6.9349600000000011E-2</v>
      </c>
      <c r="P17" s="2">
        <v>0.11639628</v>
      </c>
      <c r="Q17" s="2">
        <v>59.58059828028869</v>
      </c>
    </row>
    <row r="18" spans="1:17" ht="18.600000000000001" customHeight="1" x14ac:dyDescent="0.25">
      <c r="A18" s="3" t="s">
        <v>22</v>
      </c>
      <c r="B18" s="9">
        <f>SUM(B6:B17)</f>
        <v>38</v>
      </c>
      <c r="C18" s="9">
        <f t="shared" ref="C18:G18" si="0">SUM(C6:C17)</f>
        <v>63</v>
      </c>
      <c r="D18" s="9">
        <f t="shared" si="0"/>
        <v>19.937999999999999</v>
      </c>
      <c r="E18" s="9">
        <f t="shared" si="0"/>
        <v>1351</v>
      </c>
      <c r="F18" s="10">
        <f t="shared" si="0"/>
        <v>0.693496</v>
      </c>
      <c r="G18" s="10">
        <f t="shared" si="0"/>
        <v>1.3956600000000001</v>
      </c>
      <c r="H18" s="10">
        <f t="shared" ref="H18" si="1">F18/G18*100</f>
        <v>49.689465915767443</v>
      </c>
      <c r="I18" s="11">
        <f>SUM(I6:I17)</f>
        <v>0</v>
      </c>
      <c r="J18" s="11">
        <f t="shared" ref="J18:P18" si="2">SUM(J6:J17)</f>
        <v>0</v>
      </c>
      <c r="K18" s="11">
        <f t="shared" si="2"/>
        <v>0</v>
      </c>
      <c r="L18" s="10">
        <f t="shared" si="2"/>
        <v>6.9349600000000011E-2</v>
      </c>
      <c r="M18" s="10">
        <f t="shared" si="2"/>
        <v>0</v>
      </c>
      <c r="N18" s="10">
        <f t="shared" si="2"/>
        <v>0</v>
      </c>
      <c r="O18" s="10">
        <f t="shared" si="2"/>
        <v>6.9349600000000011E-2</v>
      </c>
      <c r="P18" s="10">
        <f t="shared" si="2"/>
        <v>0.11639628</v>
      </c>
      <c r="Q18" s="10">
        <f t="shared" ref="Q18" si="3">O18/P18*100</f>
        <v>59.58059828028869</v>
      </c>
    </row>
    <row r="19" spans="1:17" ht="18.600000000000001" customHeight="1" x14ac:dyDescent="0.25">
      <c r="A19" s="16" t="s">
        <v>20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2022-04-26T05:17:29Z</cp:lastPrinted>
  <dcterms:created xsi:type="dcterms:W3CDTF">2020-06-03T10:38:50Z</dcterms:created>
  <dcterms:modified xsi:type="dcterms:W3CDTF">2025-01-24T06:46:34Z</dcterms:modified>
</cp:coreProperties>
</file>