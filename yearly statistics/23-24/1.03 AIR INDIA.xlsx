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Correction in Annual Report 2023-24\Uploading Annual Report 2023-24\01 Airline Wise Air Transport Operating and Traffic Statistics\AIR INDIA\"/>
    </mc:Choice>
  </mc:AlternateContent>
  <bookViews>
    <workbookView xWindow="0" yWindow="0" windowWidth="17070" windowHeight="9660"/>
  </bookViews>
  <sheets>
    <sheet name="AIR INDIA" sheetId="1" r:id="rId1"/>
  </sheets>
  <definedNames>
    <definedName name="_xlnm.Print_Area" localSheetId="0">'AIR INDIA'!$A$1:$Q$19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<sst xmlns="http://schemas.openxmlformats.org/spreadsheetml/2006/main" count="26" uniqueCount="24">
  <si>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</si>
  <si>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</si>
  <si>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</si>
  <si>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</si>
  <si>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</si>
  <si>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</si>
  <si>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</si>
  <si>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</si>
  <si>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</si>
  <si>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</si>
  <si>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</si>
  <si>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</si>
  <si>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</si>
  <si>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</si>
  <si>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</si>
  <si>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</si>
  <si>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</si>
  <si>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</si>
  <si>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</si>
  <si>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</si>
  <si>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Table 1.03 AIR INDIA</t>
  </si>
  <si>
    <t>2023-24</t>
  </si>
  <si>
    <t>MONTHLY TRAFFIC AND OPERATING STATISTICS OF AIR INDIA ON SCHEDULED (DOMESTIC + INTERNATIONAL) SERVICES DURING 2023-24</t>
  </si>
  <si>
    <t>तालिका 1.03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</si>
</sst>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5" borderId="1" xfId="3" applyNumberFormat="1" applyFill="1" applyBorder="1" applyAlignment="1">
      <alignment horizontal="right" vertical="center"/>
    </xf>
    <xf numFmtId="167" fontId="2" fillId="5" borderId="1" xfId="3" applyNumberFormat="1" applyFont="1" applyFill="1" applyBorder="1" applyAlignment="1" applyProtection="1">
      <alignment horizontal="right" vertical="center" wrapText="1"/>
    </xf>
    <xf numFmtId="168" fontId="1" fillId="3" borderId="1" xfId="3" applyNumberFormat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view="pageBreakPreview" zoomScale="98" zoomScaleNormal="98" zoomScaleSheetLayoutView="98" workbookViewId="0">
      <selection activeCell="U5" sqref="U5"/>
    </sheetView>
  </sheetViews>
  <sheetFormatPr defaultColWidth="9.140625" defaultRowHeight="15" x14ac:dyDescent="0.25"/>
  <cols>
    <col min="1" max="1" width="14.85546875" style="1" customWidth="1"/>
    <col min="2" max="2" width="9.5703125" style="1" customWidth="1"/>
    <col min="3" max="3" width="9.28515625" style="1" customWidth="1"/>
    <col min="4" max="4" width="9.85546875" style="1" customWidth="1"/>
    <col min="5" max="5" width="11.5703125" style="1" customWidth="1"/>
    <col min="6" max="7" width="8.28515625" style="1" customWidth="1"/>
    <col min="8" max="8" width="7.28515625" style="1" customWidth="1"/>
    <col min="9" max="9" width="9.85546875" style="1" customWidth="1"/>
    <col min="10" max="10" width="9" style="1" customWidth="1"/>
    <col min="11" max="11" width="9.7109375" style="1" customWidth="1"/>
    <col min="12" max="12" width="8.7109375" style="1" customWidth="1"/>
    <col min="13" max="13" width="7.28515625" style="1" customWidth="1"/>
    <col min="14" max="14" width="7.140625" style="1" customWidth="1"/>
    <col min="15" max="15" width="8.5703125" style="1" customWidth="1"/>
    <col min="16" max="16" width="8.7109375" style="1" customWidth="1"/>
    <col min="17" max="17" width="7" style="1" customWidth="1"/>
    <col min="18" max="16384" width="9.140625" style="1"/>
  </cols>
  <sheetData>
    <row r="1" spans="1:17" ht="18.75" customHeight="1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75" customHeight="1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22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27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7" ht="139.5" customHeight="1" x14ac:dyDescent="0.25">
      <c r="A5" s="20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5"/>
      <c r="H5" s="1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5"/>
      <c r="Q5" s="15"/>
    </row>
    <row r="6" spans="1:17" ht="21" customHeight="1" x14ac:dyDescent="0.25">
      <c r="A6" s="12">
        <v>45017</v>
      </c>
      <c r="B6" s="2">
        <v>11624</v>
      </c>
      <c r="C6" s="2">
        <v>38653.799999999988</v>
      </c>
      <c r="D6" s="2">
        <v>25964.81</v>
      </c>
      <c r="E6" s="2">
        <v>1725028</v>
      </c>
      <c r="F6" s="2">
        <v>4600.6573549999994</v>
      </c>
      <c r="G6" s="2">
        <v>5646.0463300000001</v>
      </c>
      <c r="H6" s="3">
        <f t="shared" ref="H6:H18" si="0">F6/G6*100</f>
        <v>81.484583832665763</v>
      </c>
      <c r="I6" s="3">
        <v>13930.800000000001</v>
      </c>
      <c r="J6" s="3">
        <v>801.58964472132436</v>
      </c>
      <c r="K6" s="3">
        <v>14732.389644721326</v>
      </c>
      <c r="L6" s="3">
        <v>466.20729897200016</v>
      </c>
      <c r="M6" s="3">
        <v>59.161468516899966</v>
      </c>
      <c r="N6" s="3">
        <v>4.0279577989194548</v>
      </c>
      <c r="O6" s="3">
        <v>529.39672528781966</v>
      </c>
      <c r="P6" s="3">
        <v>758.7165860519998</v>
      </c>
      <c r="Q6" s="8">
        <f t="shared" ref="Q6:Q18" si="1">O6/P6*100</f>
        <v>69.775293570758535</v>
      </c>
    </row>
    <row r="7" spans="1:17" ht="21" customHeight="1" x14ac:dyDescent="0.25">
      <c r="A7" s="13">
        <v>45047</v>
      </c>
      <c r="B7" s="4">
        <v>12383</v>
      </c>
      <c r="C7" s="4">
        <v>40186.616666666669</v>
      </c>
      <c r="D7" s="4">
        <v>27019.896000000001</v>
      </c>
      <c r="E7" s="4">
        <v>1901317</v>
      </c>
      <c r="F7" s="4">
        <v>4981.5735119999999</v>
      </c>
      <c r="G7" s="4">
        <v>5874.8999679999997</v>
      </c>
      <c r="H7" s="5">
        <f t="shared" si="0"/>
        <v>84.794184396911248</v>
      </c>
      <c r="I7" s="5">
        <v>15430.410200000018</v>
      </c>
      <c r="J7" s="5">
        <v>862.12256900799207</v>
      </c>
      <c r="K7" s="5">
        <v>16292.53276900801</v>
      </c>
      <c r="L7" s="10">
        <v>506.63210748599994</v>
      </c>
      <c r="M7" s="10">
        <v>63.321799771599984</v>
      </c>
      <c r="N7" s="10">
        <v>4.1925748800000049</v>
      </c>
      <c r="O7" s="10">
        <v>574.14648213759983</v>
      </c>
      <c r="P7" s="5">
        <v>791.5460810239997</v>
      </c>
      <c r="Q7" s="11">
        <f t="shared" si="1"/>
        <v>72.534814573883494</v>
      </c>
    </row>
    <row r="8" spans="1:17" ht="21" customHeight="1" x14ac:dyDescent="0.25">
      <c r="A8" s="12">
        <v>45078</v>
      </c>
      <c r="B8" s="2">
        <v>12258</v>
      </c>
      <c r="C8" s="2">
        <v>40083.317999999992</v>
      </c>
      <c r="D8" s="2">
        <v>26964.495999999999</v>
      </c>
      <c r="E8" s="2">
        <v>1892420</v>
      </c>
      <c r="F8" s="2">
        <v>5164.7513440000002</v>
      </c>
      <c r="G8" s="2">
        <v>5884.1871839999994</v>
      </c>
      <c r="H8" s="3">
        <f t="shared" si="0"/>
        <v>87.773403233053926</v>
      </c>
      <c r="I8" s="3">
        <v>16446.318000000003</v>
      </c>
      <c r="J8" s="3">
        <v>883.83874554317276</v>
      </c>
      <c r="K8" s="3">
        <v>17330.156745543176</v>
      </c>
      <c r="L8" s="3">
        <v>524.718436</v>
      </c>
      <c r="M8" s="3">
        <v>68.526443</v>
      </c>
      <c r="N8" s="3">
        <v>0.74933385723172907</v>
      </c>
      <c r="O8" s="3">
        <v>593.99421285723167</v>
      </c>
      <c r="P8" s="3">
        <v>791.93945200000007</v>
      </c>
      <c r="Q8" s="8">
        <f t="shared" si="1"/>
        <v>75.005003394783714</v>
      </c>
    </row>
    <row r="9" spans="1:17" ht="21" customHeight="1" x14ac:dyDescent="0.25">
      <c r="A9" s="13">
        <v>45108</v>
      </c>
      <c r="B9" s="4">
        <v>12659</v>
      </c>
      <c r="C9" s="4">
        <v>41909.953000000052</v>
      </c>
      <c r="D9" s="4">
        <v>27996.434999999998</v>
      </c>
      <c r="E9" s="4">
        <v>1888218</v>
      </c>
      <c r="F9" s="4">
        <v>5219.2832680000001</v>
      </c>
      <c r="G9" s="4">
        <v>6131.748912</v>
      </c>
      <c r="H9" s="5">
        <f t="shared" si="0"/>
        <v>85.118998558237109</v>
      </c>
      <c r="I9" s="5">
        <v>15448.18</v>
      </c>
      <c r="J9" s="5">
        <v>976.02718054747606</v>
      </c>
      <c r="K9" s="5">
        <v>16424.207180547477</v>
      </c>
      <c r="L9" s="10">
        <v>531.55072400000006</v>
      </c>
      <c r="M9" s="10">
        <v>65.289081999999993</v>
      </c>
      <c r="N9" s="10">
        <v>4.003344008928547</v>
      </c>
      <c r="O9" s="10">
        <v>600.84315000892855</v>
      </c>
      <c r="P9" s="5">
        <v>827.46113200000002</v>
      </c>
      <c r="Q9" s="11">
        <f t="shared" si="1"/>
        <v>72.612854764147215</v>
      </c>
    </row>
    <row r="10" spans="1:17" ht="21" customHeight="1" x14ac:dyDescent="0.25">
      <c r="A10" s="12">
        <v>45139</v>
      </c>
      <c r="B10" s="2">
        <v>12764</v>
      </c>
      <c r="C10" s="2">
        <v>41994.14999999998</v>
      </c>
      <c r="D10" s="2">
        <v>28251.243000000002</v>
      </c>
      <c r="E10" s="2">
        <v>1891386</v>
      </c>
      <c r="F10" s="2">
        <v>5185.9894939999995</v>
      </c>
      <c r="G10" s="2">
        <v>6167.6198719999993</v>
      </c>
      <c r="H10" s="3">
        <f t="shared" si="0"/>
        <v>84.084129723097178</v>
      </c>
      <c r="I10" s="3">
        <v>17049.701200000007</v>
      </c>
      <c r="J10" s="3">
        <v>1054.3107194439383</v>
      </c>
      <c r="K10" s="3">
        <v>18104.011919443947</v>
      </c>
      <c r="L10" s="3">
        <v>528.30764229300007</v>
      </c>
      <c r="M10" s="3">
        <v>74.884233059699994</v>
      </c>
      <c r="N10" s="3">
        <v>4.0386063365316218</v>
      </c>
      <c r="O10" s="3">
        <v>607.23048168923162</v>
      </c>
      <c r="P10" s="3">
        <v>827.57332007999935</v>
      </c>
      <c r="Q10" s="8">
        <f t="shared" si="1"/>
        <v>73.37482576535119</v>
      </c>
    </row>
    <row r="11" spans="1:17" ht="21" customHeight="1" x14ac:dyDescent="0.25">
      <c r="A11" s="13">
        <v>45170</v>
      </c>
      <c r="B11" s="4">
        <v>12222</v>
      </c>
      <c r="C11" s="4">
        <v>40715.716666666667</v>
      </c>
      <c r="D11" s="4">
        <v>27159.383000000002</v>
      </c>
      <c r="E11" s="4">
        <v>1829078</v>
      </c>
      <c r="F11" s="4">
        <v>4997.3375930000002</v>
      </c>
      <c r="G11" s="4">
        <v>5917.7910919999995</v>
      </c>
      <c r="H11" s="5">
        <f t="shared" si="0"/>
        <v>84.445995394390991</v>
      </c>
      <c r="I11" s="5">
        <v>18481.210000000021</v>
      </c>
      <c r="J11" s="5">
        <v>879.12934680337855</v>
      </c>
      <c r="K11" s="5">
        <v>19360.339346803397</v>
      </c>
      <c r="L11" s="10">
        <v>509.04016109099928</v>
      </c>
      <c r="M11" s="10">
        <v>82.612781344300032</v>
      </c>
      <c r="N11" s="10">
        <v>3.3855335299701683</v>
      </c>
      <c r="O11" s="10">
        <v>595.03847596526941</v>
      </c>
      <c r="P11" s="5">
        <v>793.13122158399858</v>
      </c>
      <c r="Q11" s="11">
        <f t="shared" si="1"/>
        <v>75.023963219716777</v>
      </c>
    </row>
    <row r="12" spans="1:17" ht="21" customHeight="1" x14ac:dyDescent="0.25">
      <c r="A12" s="12">
        <v>45200</v>
      </c>
      <c r="B12" s="2">
        <v>12574</v>
      </c>
      <c r="C12" s="2">
        <v>41981.53333333334</v>
      </c>
      <c r="D12" s="2">
        <v>28074.858999999997</v>
      </c>
      <c r="E12" s="2">
        <v>1917102</v>
      </c>
      <c r="F12" s="2">
        <v>5205.4215949999998</v>
      </c>
      <c r="G12" s="2">
        <v>6155.1717959999996</v>
      </c>
      <c r="H12" s="3">
        <f t="shared" si="0"/>
        <v>84.569883140918918</v>
      </c>
      <c r="I12" s="3">
        <v>19848.351800000011</v>
      </c>
      <c r="J12" s="3">
        <v>874.6043287903517</v>
      </c>
      <c r="K12" s="3">
        <v>20722.95612879036</v>
      </c>
      <c r="L12" s="3">
        <v>528.12821044399993</v>
      </c>
      <c r="M12" s="3">
        <v>93.031366821200024</v>
      </c>
      <c r="N12" s="3">
        <v>3.5068995168977999</v>
      </c>
      <c r="O12" s="3">
        <v>624.66647678209779</v>
      </c>
      <c r="P12" s="3">
        <v>827.86750857999937</v>
      </c>
      <c r="Q12" s="8">
        <f t="shared" si="1"/>
        <v>75.454885027866069</v>
      </c>
    </row>
    <row r="13" spans="1:17" ht="21" customHeight="1" x14ac:dyDescent="0.25">
      <c r="A13" s="13">
        <v>45231</v>
      </c>
      <c r="B13" s="4">
        <v>12229</v>
      </c>
      <c r="C13" s="4">
        <v>41622.233333333294</v>
      </c>
      <c r="D13" s="4">
        <v>27547.663</v>
      </c>
      <c r="E13" s="4">
        <v>1907182</v>
      </c>
      <c r="F13" s="4">
        <v>5182.4390039999998</v>
      </c>
      <c r="G13" s="4">
        <v>6088.7647580000003</v>
      </c>
      <c r="H13" s="5">
        <f t="shared" si="0"/>
        <v>85.114784524904124</v>
      </c>
      <c r="I13" s="5">
        <v>18861.332800000029</v>
      </c>
      <c r="J13" s="5">
        <v>929.14848103906002</v>
      </c>
      <c r="K13" s="5">
        <v>19790.48128103909</v>
      </c>
      <c r="L13" s="10">
        <v>525.6932294070001</v>
      </c>
      <c r="M13" s="10">
        <v>89.91009559740003</v>
      </c>
      <c r="N13" s="10">
        <v>3.6759634740742673</v>
      </c>
      <c r="O13" s="10">
        <v>619.27928847847443</v>
      </c>
      <c r="P13" s="5">
        <v>821.70279911999842</v>
      </c>
      <c r="Q13" s="11">
        <f t="shared" si="1"/>
        <v>75.365361921815378</v>
      </c>
    </row>
    <row r="14" spans="1:17" ht="21" customHeight="1" x14ac:dyDescent="0.25">
      <c r="A14" s="12">
        <v>45261</v>
      </c>
      <c r="B14" s="2">
        <v>13163</v>
      </c>
      <c r="C14" s="2">
        <v>44989.633333333324</v>
      </c>
      <c r="D14" s="2">
        <v>29611.376</v>
      </c>
      <c r="E14" s="2">
        <v>2142439</v>
      </c>
      <c r="F14" s="2">
        <v>5858.4783480000006</v>
      </c>
      <c r="G14" s="2">
        <v>6549.0519639999993</v>
      </c>
      <c r="H14" s="3">
        <f t="shared" si="0"/>
        <v>89.455365146038417</v>
      </c>
      <c r="I14" s="3">
        <v>19335.9221</v>
      </c>
      <c r="J14" s="3">
        <v>980.46170755466301</v>
      </c>
      <c r="K14" s="3">
        <v>20316.383807554663</v>
      </c>
      <c r="L14" s="3">
        <v>595.11990042900038</v>
      </c>
      <c r="M14" s="3">
        <v>90.099018464600064</v>
      </c>
      <c r="N14" s="3">
        <v>3.3775075913946342</v>
      </c>
      <c r="O14" s="3">
        <v>688.59642648499505</v>
      </c>
      <c r="P14" s="3">
        <v>885.2400401679995</v>
      </c>
      <c r="Q14" s="8">
        <f t="shared" si="1"/>
        <v>77.786407667948936</v>
      </c>
    </row>
    <row r="15" spans="1:17" ht="21" customHeight="1" x14ac:dyDescent="0.25">
      <c r="A15" s="13">
        <v>45292</v>
      </c>
      <c r="B15" s="4">
        <v>13094</v>
      </c>
      <c r="C15" s="4">
        <v>45099.7</v>
      </c>
      <c r="D15" s="4">
        <v>29618.865000000002</v>
      </c>
      <c r="E15" s="4">
        <v>2137349</v>
      </c>
      <c r="F15" s="4">
        <v>5861.5430370000004</v>
      </c>
      <c r="G15" s="4">
        <v>6570.0164519999998</v>
      </c>
      <c r="H15" s="5">
        <f t="shared" si="0"/>
        <v>89.216565587376408</v>
      </c>
      <c r="I15" s="5">
        <v>17553.592500000002</v>
      </c>
      <c r="J15" s="5">
        <v>945.56255467753874</v>
      </c>
      <c r="K15" s="5">
        <v>18499.15505467754</v>
      </c>
      <c r="L15" s="10">
        <v>594.53965962200004</v>
      </c>
      <c r="M15" s="10">
        <v>77.919358861099994</v>
      </c>
      <c r="N15" s="10">
        <v>3.0867653656727283</v>
      </c>
      <c r="O15" s="10">
        <v>675.54578384877277</v>
      </c>
      <c r="P15" s="5">
        <v>894.46771894799974</v>
      </c>
      <c r="Q15" s="11">
        <f t="shared" si="1"/>
        <v>75.524892574468183</v>
      </c>
    </row>
    <row r="16" spans="1:17" ht="21" customHeight="1" x14ac:dyDescent="0.25">
      <c r="A16" s="12">
        <v>45323</v>
      </c>
      <c r="B16" s="2">
        <v>12592</v>
      </c>
      <c r="C16" s="2">
        <v>42868.383333333339</v>
      </c>
      <c r="D16" s="2">
        <v>28227.911</v>
      </c>
      <c r="E16" s="2">
        <v>2089793</v>
      </c>
      <c r="F16" s="2">
        <v>5606.0334380000004</v>
      </c>
      <c r="G16" s="2">
        <v>6272.3641619999989</v>
      </c>
      <c r="H16" s="3">
        <f t="shared" si="0"/>
        <v>89.376721332016331</v>
      </c>
      <c r="I16" s="3">
        <v>19816.960500000008</v>
      </c>
      <c r="J16" s="3">
        <v>1051.2865305302453</v>
      </c>
      <c r="K16" s="3">
        <v>20868.247030530256</v>
      </c>
      <c r="L16" s="3">
        <v>568.64448998</v>
      </c>
      <c r="M16" s="3">
        <v>92.232827491900053</v>
      </c>
      <c r="N16" s="3">
        <v>2.9601173219974717</v>
      </c>
      <c r="O16" s="3">
        <v>663.8374347938975</v>
      </c>
      <c r="P16" s="3">
        <v>859.81035907599892</v>
      </c>
      <c r="Q16" s="8">
        <f t="shared" si="1"/>
        <v>77.207424612480239</v>
      </c>
    </row>
    <row r="17" spans="1:17" ht="21" customHeight="1" x14ac:dyDescent="0.25">
      <c r="A17" s="13">
        <v>45352</v>
      </c>
      <c r="B17" s="4">
        <v>13482</v>
      </c>
      <c r="C17" s="4">
        <v>45232.98333333333</v>
      </c>
      <c r="D17" s="4">
        <v>30059.508000000002</v>
      </c>
      <c r="E17" s="4">
        <v>2194395</v>
      </c>
      <c r="F17" s="4">
        <v>5876.440912</v>
      </c>
      <c r="G17" s="4">
        <v>6699.0117879999998</v>
      </c>
      <c r="H17" s="5">
        <f t="shared" si="0"/>
        <v>87.721011665131286</v>
      </c>
      <c r="I17" s="5">
        <v>21469.987899999996</v>
      </c>
      <c r="J17" s="5">
        <v>868.2530109950892</v>
      </c>
      <c r="K17" s="5">
        <v>22338.24091099509</v>
      </c>
      <c r="L17" s="10">
        <v>596.75405260700052</v>
      </c>
      <c r="M17" s="10">
        <v>99.435243420199924</v>
      </c>
      <c r="N17" s="10">
        <v>2.9102094567915144</v>
      </c>
      <c r="O17" s="10">
        <v>699.09950548399195</v>
      </c>
      <c r="P17" s="5">
        <v>921.20478877199491</v>
      </c>
      <c r="Q17" s="11">
        <f t="shared" si="1"/>
        <v>75.88969510416041</v>
      </c>
    </row>
    <row r="18" spans="1:17" ht="21" customHeight="1" x14ac:dyDescent="0.25">
      <c r="A18" s="6" t="s">
        <v>21</v>
      </c>
      <c r="B18" s="7">
        <f>SUM(B6:B17)</f>
        <v>151044</v>
      </c>
      <c r="C18" s="7">
        <f t="shared" ref="C18:G18" si="2">SUM(C6:C17)</f>
        <v>505338.02099999995</v>
      </c>
      <c r="D18" s="7">
        <f t="shared" si="2"/>
        <v>336496.44500000007</v>
      </c>
      <c r="E18" s="7">
        <f t="shared" si="2"/>
        <v>23515707</v>
      </c>
      <c r="F18" s="7">
        <f t="shared" si="2"/>
        <v>63739.948900000003</v>
      </c>
      <c r="G18" s="7">
        <f t="shared" si="2"/>
        <v>73956.674277999991</v>
      </c>
      <c r="H18" s="8">
        <f t="shared" si="0"/>
        <v>86.185526218234543</v>
      </c>
      <c r="I18" s="8">
        <f t="shared" ref="I18:P18" si="3">SUM(I6:I17)</f>
        <v>213672.76700000011</v>
      </c>
      <c r="J18" s="8">
        <f t="shared" si="3"/>
        <v>11106.334819654232</v>
      </c>
      <c r="K18" s="8">
        <f t="shared" si="3"/>
        <v>224779.10181965437</v>
      </c>
      <c r="L18" s="8">
        <f t="shared" si="3"/>
        <v>6475.3359123310001</v>
      </c>
      <c r="M18" s="8">
        <f t="shared" si="3"/>
        <v>956.42371834890014</v>
      </c>
      <c r="N18" s="8">
        <f t="shared" si="3"/>
        <v>39.91481313840994</v>
      </c>
      <c r="O18" s="8">
        <f>SUM(O6:O17)</f>
        <v>7471.6744438183096</v>
      </c>
      <c r="P18" s="8">
        <f t="shared" si="3"/>
        <v>10000.661007403987</v>
      </c>
      <c r="Q18" s="8">
        <f t="shared" si="1"/>
        <v>74.711805932494428</v>
      </c>
    </row>
    <row r="19" spans="1:17" ht="21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2022-12-09T06:42:27Z</cp:lastPrinted>
  <dcterms:created xsi:type="dcterms:W3CDTF">2020-06-03T10:30:17Z</dcterms:created>
  <dcterms:modified xsi:type="dcterms:W3CDTF">2025-11-10T07:54:42Z</dcterms:modified>
</cp:coreProperties>
</file>