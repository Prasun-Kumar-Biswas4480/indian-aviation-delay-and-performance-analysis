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0" i="4" l="1"/>
  <c r="E8" i="4"/>
  <c r="E9" i="4"/>
  <c r="E10" i="4"/>
  <c r="E11" i="4"/>
  <c r="E12" i="4"/>
  <c r="E13" i="4"/>
  <c r="I8" i="4" l="1"/>
  <c r="I9" i="4"/>
  <c r="I10" i="4"/>
  <c r="I11" i="4"/>
  <c r="I12" i="4"/>
  <c r="I7" i="4"/>
  <c r="E7" i="4"/>
  <c r="C13" i="4"/>
  <c r="D13" i="4"/>
  <c r="F13" i="4"/>
  <c r="G13" i="4"/>
  <c r="H13" i="4"/>
  <c r="J13" i="4"/>
  <c r="B13" i="4"/>
  <c r="I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<sst xmlns="http://schemas.openxmlformats.org/spreadsheetml/2006/main" count="885" uniqueCount="191">
  <si>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</si>
  <si>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</si>
  <si>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</si>
  <si>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</si>
  <si>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</si>
  <si>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</si>
  <si>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</si>
  <si>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</si>
  <si>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</si>
  <si>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</si>
  <si>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</si>
  <si>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</si>
  <si>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</si>
  <si>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</si>
  <si>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</si>
  <si>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</si>
  <si>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</si>
  <si>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</si>
  <si>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</si>
  <si>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</si>
  <si>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</si>
  <si>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</si>
  <si>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</si>
  <si>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</si>
  <si>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</si>
  <si>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</si>
  <si>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</si>
  <si>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</si>
  <si>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</si>
  <si>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</si>
  <si>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</si>
  <si>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</si>
  <si>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</si>
  <si>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</si>
  <si>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</si>
  <si>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</si>
  <si>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</si>
  <si>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</si>
  <si>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</si>
  <si>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</si>
  <si>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</si>
  <si>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</si>
  <si>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</si>
  <si>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</si>
  <si>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</si>
  <si>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</si>
  <si>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</si>
  <si>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</si>
  <si>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</si>
  <si>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</si>
  <si>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</si>
  <si>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</si>
  <si>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</si>
  <si>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</si>
  <si>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</si>
  <si>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</si>
  <si>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</si>
  <si>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</si>
  <si>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</si>
  <si>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</si>
  <si>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</si>
  <si>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</si>
  <si>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</si>
  <si>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</si>
  <si>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</si>
  <si>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</si>
  <si>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</si>
  <si>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</si>
  <si>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</si>
  <si>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</si>
  <si>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</si>
  <si>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</si>
  <si>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</si>
  <si>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</si>
  <si>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</si>
  <si>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</si>
  <si>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</si>
  <si>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</si>
  <si>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</si>
  <si>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</si>
  <si>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</si>
  <si>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</si>
  <si>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</si>
  <si>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</si>
  <si>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</si>
  <si>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</si>
  <si>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</si>
  <si>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</si>
  <si>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</si>
  <si>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</si>
  <si>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</si>
  <si>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</si>
  <si>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</si>
  <si>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</si>
  <si>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</si>
  <si>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</si>
  <si>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</si>
  <si>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</si>
  <si>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</si>
  <si>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</si>
  <si>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</si>
  <si>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</si>
  <si>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</si>
  <si>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</si>
  <si>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</si>
  <si>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</si>
  <si>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</si>
  <si>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</si>
  <si>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</si>
  <si>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</si>
  <si>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</si>
  <si>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</si>
  <si>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</si>
  <si>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</si>
  <si>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</si>
  <si>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</si>
  <si>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</si>
  <si>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</si>
  <si>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</si>
  <si>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</si>
  <si>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</si>
  <si>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</si>
  <si>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</si>
  <si>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</si>
  <si>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</si>
  <si>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</si>
  <si>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</si>
  <si>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</si>
  <si>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</si>
  <si>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</si>
  <si>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</si>
  <si>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</si>
  <si>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</si>
  <si>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</si>
  <si>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</si>
  <si>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</si>
  <si>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</si>
  <si>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</si>
  <si>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</si>
  <si>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</si>
  <si>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</si>
  <si>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</si>
  <si>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</si>
  <si>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</si>
  <si>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</si>
  <si>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</si>
  <si>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</si>
  <si>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</si>
  <si>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</si>
  <si>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</si>
  <si>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</si>
  <si>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</si>
  <si>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</si>
  <si>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</si>
  <si>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</si>
  <si>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</si>
  <si>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</si>
  <si>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</si>
  <si>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</si>
  <si>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</si>
  <si>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</si>
  <si>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</si>
  <si>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</si>
  <si>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</si>
  <si>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</si>
  <si>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</si>
  <si>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</si>
  <si>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</si>
  <si>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</si>
  <si>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</si>
  <si>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</si>
  <si>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</si>
  <si>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</si>
  <si>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</si>
  <si>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</si>
  <si>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</si>
  <si>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</si>
  <si>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</si>
  <si>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</si>
  <si>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</si>
  <si>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</si>
  <si>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AIR INDIA</t>
  </si>
  <si>
    <t>OTHER FLIGHT CREW</t>
  </si>
  <si>
    <t>CABIN CREW</t>
  </si>
  <si>
    <t>MALE</t>
  </si>
  <si>
    <t>FEMALE</t>
  </si>
  <si>
    <t>TRANSGENDER</t>
  </si>
  <si>
    <t>PERSONNEL STATISTICS OF AIR INDIA DURING 2023-24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</si>
  <si>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</si>
  <si>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(एयर इंडिया) </t>
  </si>
  <si>
    <t>TABLE - 1D (AIR INDIA)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</si>
</sst>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9" formatCode="#,##0.0_);[Red]\(#,##0.0\)"/>
    <numFmt numFmtId="171" formatCode="_-* #,##0.00_-;\-* #,##0.00_-;_-* &quot;-&quot;??_-;_-@_-"/>
    <numFmt numFmtId="172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2" fontId="14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5" xfId="7" applyNumberFormat="1" applyFont="1" applyFill="1" applyBorder="1" applyAlignment="1" applyProtection="1">
      <alignment horizontal="left" vertical="center"/>
    </xf>
    <xf numFmtId="169" fontId="8" fillId="4" borderId="15" xfId="7" applyNumberFormat="1" applyFont="1" applyFill="1" applyBorder="1" applyAlignment="1" applyProtection="1">
      <alignment vertical="center"/>
    </xf>
    <xf numFmtId="169" fontId="9" fillId="4" borderId="14" xfId="7" applyNumberFormat="1" applyFont="1" applyFill="1" applyBorder="1" applyAlignment="1" applyProtection="1">
      <alignment vertical="center"/>
    </xf>
    <xf numFmtId="169" fontId="8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wrapText="1"/>
    </xf>
    <xf numFmtId="3" fontId="16" fillId="2" borderId="1" xfId="2" applyNumberFormat="1" applyFont="1" applyFill="1" applyBorder="1" applyAlignment="1" applyProtection="1">
      <alignment horizontal="center" vertical="center" wrapText="1"/>
    </xf>
    <xf numFmtId="166" fontId="16" fillId="2" borderId="1" xfId="0" applyNumberFormat="1" applyFont="1" applyFill="1" applyBorder="1" applyAlignment="1">
      <alignment horizontal="center" vertical="center"/>
    </xf>
    <xf numFmtId="166" fontId="16" fillId="2" borderId="2" xfId="0" applyNumberFormat="1" applyFont="1" applyFill="1" applyBorder="1" applyAlignment="1">
      <alignment horizontal="center" vertical="center"/>
    </xf>
    <xf numFmtId="3" fontId="15" fillId="2" borderId="1" xfId="2" applyNumberFormat="1" applyFont="1" applyFill="1" applyBorder="1" applyAlignment="1" applyProtection="1">
      <alignment horizontal="center" vertical="center" wrapText="1"/>
    </xf>
    <xf numFmtId="166" fontId="15" fillId="2" borderId="1" xfId="2" applyNumberFormat="1" applyFont="1" applyFill="1" applyBorder="1" applyAlignment="1" applyProtection="1">
      <alignment horizontal="center" vertical="center" wrapText="1"/>
    </xf>
    <xf numFmtId="0" fontId="15" fillId="2" borderId="10" xfId="2" applyFont="1" applyFill="1" applyBorder="1" applyAlignment="1">
      <alignment horizontal="center" vertical="center"/>
    </xf>
    <xf numFmtId="0" fontId="15" fillId="2" borderId="11" xfId="2" applyFont="1" applyFill="1" applyBorder="1" applyAlignment="1">
      <alignment horizontal="center" vertical="center"/>
    </xf>
    <xf numFmtId="0" fontId="15" fillId="2" borderId="6" xfId="2" applyFont="1" applyFill="1" applyBorder="1" applyAlignment="1" applyProtection="1">
      <alignment horizontal="center" vertical="center" wrapText="1"/>
    </xf>
    <xf numFmtId="0" fontId="15" fillId="2" borderId="7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8" xfId="2" applyFont="1" applyFill="1" applyBorder="1" applyAlignment="1">
      <alignment horizontal="left" vertical="center" wrapText="1"/>
    </xf>
    <xf numFmtId="0" fontId="15" fillId="2" borderId="9" xfId="2" applyFont="1" applyFill="1" applyBorder="1" applyAlignment="1">
      <alignment horizontal="left" vertical="center" wrapText="1"/>
    </xf>
    <xf numFmtId="0" fontId="15" fillId="2" borderId="13" xfId="2" applyFont="1" applyFill="1" applyBorder="1" applyAlignment="1">
      <alignment horizontal="left" vertical="center" wrapText="1"/>
    </xf>
    <xf numFmtId="0" fontId="15" fillId="2" borderId="12" xfId="2" applyFont="1" applyFill="1" applyBorder="1" applyAlignment="1">
      <alignment horizontal="center" vertical="center"/>
    </xf>
    <xf numFmtId="0" fontId="15" fillId="2" borderId="8" xfId="2" applyFont="1" applyFill="1" applyBorder="1" applyAlignment="1">
      <alignment horizontal="center" vertical="center"/>
    </xf>
    <xf numFmtId="0" fontId="15" fillId="2" borderId="9" xfId="2" applyFont="1" applyFill="1" applyBorder="1" applyAlignment="1">
      <alignment horizontal="center" vertical="center"/>
    </xf>
    <xf numFmtId="0" fontId="15" fillId="2" borderId="13" xfId="2" applyFont="1" applyFill="1" applyBorder="1" applyAlignment="1">
      <alignment horizontal="center" vertical="center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10" xfId="2" applyFont="1" applyFill="1" applyBorder="1" applyAlignment="1" applyProtection="1">
      <alignment horizontal="left" vertical="center" wrapText="1"/>
    </xf>
    <xf numFmtId="0" fontId="15" fillId="2" borderId="11" xfId="2" applyFont="1" applyFill="1" applyBorder="1" applyAlignment="1" applyProtection="1">
      <alignment horizontal="left" vertical="center" wrapText="1"/>
    </xf>
    <xf numFmtId="0" fontId="15" fillId="2" borderId="12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80" zoomScaleNormal="100" zoomScaleSheetLayoutView="80" workbookViewId="0">
      <selection activeCell="J18" sqref="J18"/>
    </sheetView>
  </sheetViews>
  <sheetFormatPr defaultColWidth="11" defaultRowHeight="15.75" x14ac:dyDescent="0.25"/>
  <cols>
    <col min="1" max="1" width="31" style="24" customWidth="1"/>
    <col min="2" max="2" width="8.28515625" style="24" customWidth="1"/>
    <col min="3" max="3" width="10.85546875" style="24" customWidth="1"/>
    <col min="4" max="4" width="11.7109375" style="24" customWidth="1"/>
    <col min="5" max="5" width="9.5703125" style="24" customWidth="1"/>
    <col min="6" max="6" width="8.140625" style="24" customWidth="1"/>
    <col min="7" max="7" width="10.85546875" style="24" customWidth="1"/>
    <col min="8" max="8" width="11.140625" style="24" customWidth="1"/>
    <col min="9" max="9" width="9.140625" style="24" customWidth="1"/>
    <col min="10" max="10" width="19.140625" style="24" customWidth="1"/>
    <col min="11" max="11" width="11" style="24"/>
    <col min="12" max="13" width="11" style="24" customWidth="1"/>
    <col min="14" max="16384" width="11" style="24"/>
  </cols>
  <sheetData>
    <row r="1" spans="1:11" ht="24.95" customHeight="1" x14ac:dyDescent="0.25">
      <c r="A1" s="31" t="s">
        <v>189</v>
      </c>
      <c r="B1" s="32"/>
      <c r="C1" s="32"/>
      <c r="D1" s="32"/>
      <c r="E1" s="32"/>
      <c r="F1" s="32"/>
      <c r="G1" s="32"/>
      <c r="H1" s="32"/>
      <c r="I1" s="32"/>
      <c r="J1" s="40"/>
    </row>
    <row r="2" spans="1:11" ht="24.95" customHeight="1" x14ac:dyDescent="0.25">
      <c r="A2" s="41" t="s">
        <v>190</v>
      </c>
      <c r="B2" s="42"/>
      <c r="C2" s="42"/>
      <c r="D2" s="42"/>
      <c r="E2" s="42"/>
      <c r="F2" s="42"/>
      <c r="G2" s="42"/>
      <c r="H2" s="42"/>
      <c r="I2" s="42"/>
      <c r="J2" s="43"/>
    </row>
    <row r="3" spans="1:11" ht="45" customHeight="1" x14ac:dyDescent="0.25">
      <c r="A3" s="44" t="s">
        <v>187</v>
      </c>
      <c r="B3" s="44"/>
      <c r="C3" s="44"/>
      <c r="D3" s="44"/>
      <c r="E3" s="44"/>
      <c r="F3" s="44"/>
      <c r="G3" s="44"/>
      <c r="H3" s="44"/>
      <c r="I3" s="44"/>
      <c r="J3" s="44"/>
    </row>
    <row r="4" spans="1:11" ht="36" customHeight="1" x14ac:dyDescent="0.25">
      <c r="A4" s="35" t="s">
        <v>8</v>
      </c>
      <c r="B4" s="33" t="s">
        <v>7</v>
      </c>
      <c r="C4" s="34"/>
      <c r="D4" s="34"/>
      <c r="E4" s="34"/>
      <c r="F4" s="34"/>
      <c r="G4" s="34"/>
      <c r="H4" s="34"/>
      <c r="I4" s="36"/>
      <c r="J4" s="48" t="s">
        <v>15</v>
      </c>
    </row>
    <row r="5" spans="1:11" ht="36" customHeight="1" x14ac:dyDescent="0.25">
      <c r="A5" s="35"/>
      <c r="B5" s="33" t="s">
        <v>6</v>
      </c>
      <c r="C5" s="34"/>
      <c r="D5" s="34"/>
      <c r="E5" s="36"/>
      <c r="F5" s="33" t="s">
        <v>5</v>
      </c>
      <c r="G5" s="34"/>
      <c r="H5" s="34"/>
      <c r="I5" s="36"/>
      <c r="J5" s="49"/>
    </row>
    <row r="6" spans="1:11" ht="35.1" customHeight="1" x14ac:dyDescent="0.25">
      <c r="A6" s="25"/>
      <c r="B6" s="25" t="s">
        <v>184</v>
      </c>
      <c r="C6" s="25" t="s">
        <v>185</v>
      </c>
      <c r="D6" s="25" t="s">
        <v>186</v>
      </c>
      <c r="E6" s="25" t="s">
        <v>0</v>
      </c>
      <c r="F6" s="25" t="s">
        <v>184</v>
      </c>
      <c r="G6" s="25" t="s">
        <v>185</v>
      </c>
      <c r="H6" s="25" t="s">
        <v>186</v>
      </c>
      <c r="I6" s="25" t="s">
        <v>0</v>
      </c>
      <c r="J6" s="44"/>
    </row>
    <row r="7" spans="1:11" ht="35.1" customHeight="1" x14ac:dyDescent="0.25">
      <c r="A7" s="25" t="s">
        <v>4</v>
      </c>
      <c r="B7" s="26">
        <v>1985</v>
      </c>
      <c r="C7" s="26">
        <v>375</v>
      </c>
      <c r="D7" s="26">
        <v>0</v>
      </c>
      <c r="E7" s="26">
        <f>B7+C7+D7</f>
        <v>2360</v>
      </c>
      <c r="F7" s="26">
        <v>2134</v>
      </c>
      <c r="G7" s="26">
        <v>402</v>
      </c>
      <c r="H7" s="26">
        <v>0</v>
      </c>
      <c r="I7" s="26">
        <f>F7+G7</f>
        <v>2536</v>
      </c>
      <c r="J7" s="27">
        <v>18481</v>
      </c>
      <c r="K7" s="23"/>
    </row>
    <row r="8" spans="1:11" ht="35.1" customHeight="1" x14ac:dyDescent="0.25">
      <c r="A8" s="25" t="s">
        <v>182</v>
      </c>
      <c r="B8" s="26">
        <v>0</v>
      </c>
      <c r="C8" s="26">
        <v>0</v>
      </c>
      <c r="D8" s="26">
        <v>0</v>
      </c>
      <c r="E8" s="26">
        <f t="shared" ref="E8:E13" si="0">B8+C8+D8</f>
        <v>0</v>
      </c>
      <c r="F8" s="26">
        <v>0</v>
      </c>
      <c r="G8" s="26">
        <v>0</v>
      </c>
      <c r="H8" s="26">
        <v>0</v>
      </c>
      <c r="I8" s="26">
        <f t="shared" ref="I8:I13" si="1">F8+G8</f>
        <v>0</v>
      </c>
      <c r="J8" s="27">
        <v>0</v>
      </c>
      <c r="K8" s="23"/>
    </row>
    <row r="9" spans="1:11" ht="35.1" customHeight="1" x14ac:dyDescent="0.25">
      <c r="A9" s="25" t="s">
        <v>183</v>
      </c>
      <c r="B9" s="26">
        <v>1447</v>
      </c>
      <c r="C9" s="26">
        <v>7070</v>
      </c>
      <c r="D9" s="26">
        <v>0</v>
      </c>
      <c r="E9" s="26">
        <f t="shared" si="0"/>
        <v>8517</v>
      </c>
      <c r="F9" s="26">
        <v>1350</v>
      </c>
      <c r="G9" s="26">
        <v>7294</v>
      </c>
      <c r="H9" s="26">
        <v>0</v>
      </c>
      <c r="I9" s="26">
        <f t="shared" si="1"/>
        <v>8644</v>
      </c>
      <c r="J9" s="27">
        <v>6277</v>
      </c>
      <c r="K9" s="23"/>
    </row>
    <row r="10" spans="1:11" ht="42" customHeight="1" x14ac:dyDescent="0.25">
      <c r="A10" s="25" t="s">
        <v>3</v>
      </c>
      <c r="B10" s="26">
        <v>400</v>
      </c>
      <c r="C10" s="26">
        <v>63</v>
      </c>
      <c r="D10" s="26">
        <v>0</v>
      </c>
      <c r="E10" s="26">
        <f t="shared" si="0"/>
        <v>463</v>
      </c>
      <c r="F10" s="26">
        <v>522</v>
      </c>
      <c r="G10" s="26">
        <v>82</v>
      </c>
      <c r="H10" s="26">
        <v>0</v>
      </c>
      <c r="I10" s="26">
        <f t="shared" si="1"/>
        <v>604</v>
      </c>
      <c r="J10" s="27">
        <f>137+748</f>
        <v>885</v>
      </c>
      <c r="K10" s="23"/>
    </row>
    <row r="11" spans="1:11" ht="35.1" customHeight="1" x14ac:dyDescent="0.25">
      <c r="A11" s="25" t="s">
        <v>2</v>
      </c>
      <c r="B11" s="26">
        <v>142</v>
      </c>
      <c r="C11" s="26">
        <v>79</v>
      </c>
      <c r="D11" s="26">
        <v>0</v>
      </c>
      <c r="E11" s="26">
        <f t="shared" si="0"/>
        <v>221</v>
      </c>
      <c r="F11" s="26">
        <v>163</v>
      </c>
      <c r="G11" s="26">
        <v>101</v>
      </c>
      <c r="H11" s="26">
        <v>0</v>
      </c>
      <c r="I11" s="26">
        <f t="shared" si="1"/>
        <v>264</v>
      </c>
      <c r="J11" s="28">
        <v>380</v>
      </c>
      <c r="K11" s="23"/>
    </row>
    <row r="12" spans="1:11" ht="35.1" customHeight="1" x14ac:dyDescent="0.25">
      <c r="A12" s="25" t="s">
        <v>1</v>
      </c>
      <c r="B12" s="26">
        <v>4795</v>
      </c>
      <c r="C12" s="26">
        <v>1447</v>
      </c>
      <c r="D12" s="26">
        <v>0</v>
      </c>
      <c r="E12" s="26">
        <f t="shared" si="0"/>
        <v>6242</v>
      </c>
      <c r="F12" s="26">
        <v>4934</v>
      </c>
      <c r="G12" s="26">
        <v>1584</v>
      </c>
      <c r="H12" s="26">
        <v>0</v>
      </c>
      <c r="I12" s="26">
        <f t="shared" si="1"/>
        <v>6518</v>
      </c>
      <c r="J12" s="27">
        <v>14289</v>
      </c>
      <c r="K12" s="23"/>
    </row>
    <row r="13" spans="1:11" ht="35.1" customHeight="1" x14ac:dyDescent="0.25">
      <c r="A13" s="25" t="s">
        <v>0</v>
      </c>
      <c r="B13" s="29">
        <f>SUM(B7:B12)</f>
        <v>8769</v>
      </c>
      <c r="C13" s="29">
        <f t="shared" ref="C13:J13" si="2">SUM(C7:C12)</f>
        <v>9034</v>
      </c>
      <c r="D13" s="29">
        <f t="shared" si="2"/>
        <v>0</v>
      </c>
      <c r="E13" s="26">
        <f t="shared" si="0"/>
        <v>17803</v>
      </c>
      <c r="F13" s="29">
        <f t="shared" si="2"/>
        <v>9103</v>
      </c>
      <c r="G13" s="29">
        <f t="shared" si="2"/>
        <v>9463</v>
      </c>
      <c r="H13" s="29">
        <f t="shared" si="2"/>
        <v>0</v>
      </c>
      <c r="I13" s="29">
        <f t="shared" si="1"/>
        <v>18566</v>
      </c>
      <c r="J13" s="30">
        <f t="shared" si="2"/>
        <v>40312</v>
      </c>
    </row>
    <row r="14" spans="1:11" ht="20.100000000000001" customHeight="1" x14ac:dyDescent="0.25">
      <c r="A14" s="45" t="s">
        <v>181</v>
      </c>
      <c r="B14" s="46"/>
      <c r="C14" s="46"/>
      <c r="D14" s="46"/>
      <c r="E14" s="46"/>
      <c r="F14" s="46"/>
      <c r="G14" s="46"/>
      <c r="H14" s="46"/>
      <c r="I14" s="46"/>
      <c r="J14" s="47"/>
    </row>
    <row r="15" spans="1:11" ht="21.75" customHeight="1" x14ac:dyDescent="0.25">
      <c r="A15" s="37" t="s">
        <v>188</v>
      </c>
      <c r="B15" s="38"/>
      <c r="C15" s="38"/>
      <c r="D15" s="38"/>
      <c r="E15" s="38"/>
      <c r="F15" s="38"/>
      <c r="G15" s="38"/>
      <c r="H15" s="38"/>
      <c r="I15" s="38"/>
      <c r="J15" s="39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65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2025-04-02T09:38:26Z</dcterms:modified>
</cp:coreProperties>
</file>