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<sst xmlns="http://schemas.openxmlformats.org/spreadsheetml/2006/main" count="26" uniqueCount="24">
  <si>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</si>
  <si>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</si>
  <si>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</si>
  <si>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</si>
  <si>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</si>
  <si>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</si>
  <si>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</si>
  <si>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</si>
  <si>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</si>
  <si>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</si>
  <si>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</si>
  <si>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</si>
  <si>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</si>
  <si>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</si>
  <si>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</si>
  <si>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</si>
  <si>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</si>
  <si>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</si>
  <si>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</si>
  <si>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</si>
  <si>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2023-24</t>
  </si>
  <si>
    <t>MONTHLY TRAFFIC AND OPERATING STATISTICS OF ALL SCHEDULED INDIAN AIRLINES ON SCHEDULED INTERNATIONAL SERVICES DURING 2023-24</t>
  </si>
  <si>
    <t xml:space="preserve">तालिका - 2.02 (सभी अनुसूचित भारतीय एयरलाइन्स) </t>
  </si>
  <si>
    <t>Table 2.02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</si>
</sst>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0" xfId="0" applyFont="1" applyBorder="1" applyAlignment="1">
      <alignment horizontal="left" wrapText="1"/>
    </xf>
    <xf numFmtId="17" fontId="3" fillId="5" borderId="1" xfId="3" applyNumberFormat="1" applyFill="1" applyBorder="1" applyAlignment="1" applyProtection="1">
      <alignment horizontal="center" vertical="center" wrapText="1"/>
    </xf>
    <xf numFmtId="165" fontId="6" fillId="0" borderId="0" xfId="0" applyNumberFormat="1" applyFont="1" applyBorder="1" applyAlignment="1">
      <alignment horizontal="left" wrapText="1"/>
    </xf>
    <xf numFmtId="165" fontId="0" fillId="0" borderId="0" xfId="0" applyNumberFormat="1" applyFont="1"/>
    <xf numFmtId="165" fontId="2" fillId="3" borderId="1" xfId="2" applyNumberFormat="1" applyFont="1" applyBorder="1" applyAlignment="1" applyProtection="1">
      <alignment horizontal="center" vertical="center" textRotation="90" wrapText="1"/>
    </xf>
    <xf numFmtId="165" fontId="2" fillId="3" borderId="1" xfId="2" applyNumberFormat="1" applyFont="1" applyBorder="1" applyAlignment="1">
      <alignment textRotation="90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zoomScale="85" zoomScaleNormal="85" zoomScaleSheetLayoutView="84" workbookViewId="0">
      <selection activeCell="G6" sqref="G6"/>
    </sheetView>
  </sheetViews>
  <sheetFormatPr defaultColWidth="9.140625" defaultRowHeight="15" x14ac:dyDescent="0.25"/>
  <cols>
    <col min="1" max="1" width="10.1406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14.570312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2.28515625" style="14" customWidth="1"/>
    <col min="17" max="17" width="7.7109375" style="1" customWidth="1"/>
    <col min="18" max="16384" width="9.140625" style="1"/>
  </cols>
  <sheetData>
    <row r="1" spans="1:17" ht="18.75" customHeight="1" x14ac:dyDescent="0.25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customHeight="1" x14ac:dyDescent="0.25">
      <c r="A2" s="21" t="s">
        <v>23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21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7" t="s">
        <v>3</v>
      </c>
      <c r="H4" s="17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7" t="s">
        <v>8</v>
      </c>
    </row>
    <row r="5" spans="1:17" ht="128.25" customHeight="1" x14ac:dyDescent="0.25">
      <c r="A5" s="23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8"/>
      <c r="H5" s="18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6"/>
      <c r="Q5" s="18"/>
    </row>
    <row r="6" spans="1:17" ht="30" customHeight="1" x14ac:dyDescent="0.25">
      <c r="A6" s="4">
        <v>45017</v>
      </c>
      <c r="B6" s="5">
        <v>14095</v>
      </c>
      <c r="C6" s="5">
        <v>63228.800000000003</v>
      </c>
      <c r="D6" s="5">
        <v>44509.030030000002</v>
      </c>
      <c r="E6" s="5">
        <v>2184188</v>
      </c>
      <c r="F6" s="5">
        <v>7247.8070551999999</v>
      </c>
      <c r="G6" s="5">
        <v>9143.5537850000001</v>
      </c>
      <c r="H6" s="6">
        <f t="shared" ref="H6:H18" si="0">F6/G6*100</f>
        <v>79.266849910042936</v>
      </c>
      <c r="I6" s="6">
        <v>15683.754349999999</v>
      </c>
      <c r="J6" s="6">
        <v>477.84648036857806</v>
      </c>
      <c r="K6" s="6">
        <v>16161.600830368578</v>
      </c>
      <c r="L6" s="6">
        <v>727.28399422100006</v>
      </c>
      <c r="M6" s="6">
        <v>76.175481158498513</v>
      </c>
      <c r="N6" s="6">
        <v>3.7466870711495908</v>
      </c>
      <c r="O6" s="6">
        <v>807.20616245064832</v>
      </c>
      <c r="P6" s="6">
        <v>1162.26325959</v>
      </c>
      <c r="Q6" s="6">
        <f t="shared" ref="Q6:Q18" si="1">O6/P6*100</f>
        <v>69.451232824428985</v>
      </c>
    </row>
    <row r="7" spans="1:17" ht="30" customHeight="1" x14ac:dyDescent="0.25">
      <c r="A7" s="12">
        <v>45047</v>
      </c>
      <c r="B7" s="2">
        <v>13951</v>
      </c>
      <c r="C7" s="2">
        <v>62518.896666666646</v>
      </c>
      <c r="D7" s="2">
        <v>44309.902399999999</v>
      </c>
      <c r="E7" s="2">
        <v>2358457</v>
      </c>
      <c r="F7" s="2">
        <v>8179.3336559999998</v>
      </c>
      <c r="G7" s="2">
        <v>9697.8382530000017</v>
      </c>
      <c r="H7" s="3">
        <f t="shared" si="0"/>
        <v>84.341823843780276</v>
      </c>
      <c r="I7" s="3">
        <v>16287.723060000018</v>
      </c>
      <c r="J7" s="3">
        <v>497.20350000000002</v>
      </c>
      <c r="K7" s="3">
        <v>16784.926560000022</v>
      </c>
      <c r="L7" s="3">
        <v>794.41902183499997</v>
      </c>
      <c r="M7" s="3">
        <v>68.073621240152178</v>
      </c>
      <c r="N7" s="3">
        <v>3.8146253564000046</v>
      </c>
      <c r="O7" s="3">
        <v>866.30726843155207</v>
      </c>
      <c r="P7" s="3">
        <v>1202.4140933660005</v>
      </c>
      <c r="Q7" s="3">
        <f t="shared" si="1"/>
        <v>72.047331548355231</v>
      </c>
    </row>
    <row r="8" spans="1:17" ht="30" customHeight="1" x14ac:dyDescent="0.25">
      <c r="A8" s="4">
        <v>45078</v>
      </c>
      <c r="B8" s="5">
        <v>13546</v>
      </c>
      <c r="C8" s="5">
        <v>61366.831899999997</v>
      </c>
      <c r="D8" s="5">
        <v>43725.04608</v>
      </c>
      <c r="E8" s="5">
        <v>2313021</v>
      </c>
      <c r="F8" s="5">
        <v>8309.8922060000004</v>
      </c>
      <c r="G8" s="5">
        <v>9687.4212709999993</v>
      </c>
      <c r="H8" s="6">
        <f t="shared" si="0"/>
        <v>85.780229573336172</v>
      </c>
      <c r="I8" s="6">
        <v>17470.202140000001</v>
      </c>
      <c r="J8" s="6">
        <v>475.18471105138991</v>
      </c>
      <c r="K8" s="6">
        <v>17945.386851051393</v>
      </c>
      <c r="L8" s="6">
        <v>814.52037408599995</v>
      </c>
      <c r="M8" s="6">
        <v>76.311966142202195</v>
      </c>
      <c r="N8" s="6">
        <v>0.623230685787172</v>
      </c>
      <c r="O8" s="6">
        <v>891.45557091398928</v>
      </c>
      <c r="P8" s="6">
        <v>1202.136349332</v>
      </c>
      <c r="Q8" s="6">
        <f t="shared" si="1"/>
        <v>74.155945073065212</v>
      </c>
    </row>
    <row r="9" spans="1:17" ht="30" customHeight="1" x14ac:dyDescent="0.25">
      <c r="A9" s="12">
        <v>45108</v>
      </c>
      <c r="B9" s="2">
        <v>14268</v>
      </c>
      <c r="C9" s="2">
        <v>64701.571266666724</v>
      </c>
      <c r="D9" s="2">
        <v>46064.301429999992</v>
      </c>
      <c r="E9" s="2">
        <v>2404556</v>
      </c>
      <c r="F9" s="2">
        <v>8605.0229510000008</v>
      </c>
      <c r="G9" s="2">
        <v>10238.241482000001</v>
      </c>
      <c r="H9" s="3">
        <f t="shared" si="0"/>
        <v>84.047860817979483</v>
      </c>
      <c r="I9" s="3">
        <v>16533.441610000002</v>
      </c>
      <c r="J9" s="3">
        <v>474.90709283606299</v>
      </c>
      <c r="K9" s="3">
        <v>17008.348702836061</v>
      </c>
      <c r="L9" s="3">
        <v>839.73122164200004</v>
      </c>
      <c r="M9" s="3">
        <v>73.591643633942198</v>
      </c>
      <c r="N9" s="3">
        <v>3.5002639997779665</v>
      </c>
      <c r="O9" s="3">
        <v>916.82312927572013</v>
      </c>
      <c r="P9" s="3">
        <v>1244.6394779500001</v>
      </c>
      <c r="Q9" s="3">
        <f t="shared" si="1"/>
        <v>73.661742658668174</v>
      </c>
    </row>
    <row r="10" spans="1:17" ht="30" customHeight="1" x14ac:dyDescent="0.25">
      <c r="A10" s="4">
        <v>45139</v>
      </c>
      <c r="B10" s="5">
        <v>14791</v>
      </c>
      <c r="C10" s="5">
        <v>66984.839999999982</v>
      </c>
      <c r="D10" s="5">
        <v>47752.914380000002</v>
      </c>
      <c r="E10" s="5">
        <v>2403998</v>
      </c>
      <c r="F10" s="5">
        <v>8662.7418120000002</v>
      </c>
      <c r="G10" s="5">
        <v>10523.494005</v>
      </c>
      <c r="H10" s="6">
        <f t="shared" si="0"/>
        <v>82.318114191770292</v>
      </c>
      <c r="I10" s="6">
        <v>18335.637129999996</v>
      </c>
      <c r="J10" s="6">
        <v>427.42548803220018</v>
      </c>
      <c r="K10" s="6">
        <v>18763.0626180322</v>
      </c>
      <c r="L10" s="6">
        <v>846.45274705100019</v>
      </c>
      <c r="M10" s="6">
        <v>83.839214894016308</v>
      </c>
      <c r="N10" s="6">
        <v>3.4408313530192842</v>
      </c>
      <c r="O10" s="6">
        <v>933.73279329803563</v>
      </c>
      <c r="P10" s="6">
        <v>1292.3207828359994</v>
      </c>
      <c r="Q10" s="6">
        <f t="shared" si="1"/>
        <v>72.252400928580442</v>
      </c>
    </row>
    <row r="11" spans="1:17" ht="30" customHeight="1" x14ac:dyDescent="0.25">
      <c r="A11" s="12">
        <v>45170</v>
      </c>
      <c r="B11" s="2">
        <v>14333</v>
      </c>
      <c r="C11" s="2">
        <v>64942.496666666615</v>
      </c>
      <c r="D11" s="2">
        <v>45993.438000000002</v>
      </c>
      <c r="E11" s="2">
        <v>2269965</v>
      </c>
      <c r="F11" s="2">
        <v>8168.508718000001</v>
      </c>
      <c r="G11" s="2">
        <v>10134.509868000001</v>
      </c>
      <c r="H11" s="3">
        <f t="shared" si="0"/>
        <v>80.600925199079398</v>
      </c>
      <c r="I11" s="3">
        <v>18746.264070000012</v>
      </c>
      <c r="J11" s="3">
        <v>365.95313368978668</v>
      </c>
      <c r="K11" s="3">
        <v>19112.217203689797</v>
      </c>
      <c r="L11" s="3">
        <v>798.73605091699915</v>
      </c>
      <c r="M11" s="3">
        <v>89.539603981186332</v>
      </c>
      <c r="N11" s="3">
        <v>2.8979351247706027</v>
      </c>
      <c r="O11" s="3">
        <v>891.1735900229562</v>
      </c>
      <c r="P11" s="3">
        <v>1234.1573543499994</v>
      </c>
      <c r="Q11" s="3">
        <f t="shared" si="1"/>
        <v>72.209073412062239</v>
      </c>
    </row>
    <row r="12" spans="1:17" ht="30" customHeight="1" x14ac:dyDescent="0.25">
      <c r="A12" s="4">
        <v>45200</v>
      </c>
      <c r="B12" s="5">
        <v>14846</v>
      </c>
      <c r="C12" s="5">
        <v>138960.40666666668</v>
      </c>
      <c r="D12" s="5">
        <v>47517.658230000001</v>
      </c>
      <c r="E12" s="5">
        <v>2397386</v>
      </c>
      <c r="F12" s="5">
        <v>8518.5982960000001</v>
      </c>
      <c r="G12" s="5">
        <v>10490.995493999999</v>
      </c>
      <c r="H12" s="6">
        <f t="shared" si="0"/>
        <v>81.199141691290876</v>
      </c>
      <c r="I12" s="6">
        <v>20869.776420000006</v>
      </c>
      <c r="J12" s="6">
        <v>348.63572063680664</v>
      </c>
      <c r="K12" s="6">
        <v>21218.412140636814</v>
      </c>
      <c r="L12" s="6">
        <v>828.74644659900002</v>
      </c>
      <c r="M12" s="6">
        <v>102.83002062622221</v>
      </c>
      <c r="N12" s="6">
        <v>3.0265126499847907</v>
      </c>
      <c r="O12" s="6">
        <v>934.60297987520698</v>
      </c>
      <c r="P12" s="6">
        <v>1282.9791664819995</v>
      </c>
      <c r="Q12" s="6">
        <f t="shared" si="1"/>
        <v>72.846309923951495</v>
      </c>
    </row>
    <row r="13" spans="1:17" ht="30" customHeight="1" x14ac:dyDescent="0.25">
      <c r="A13" s="12">
        <v>45231</v>
      </c>
      <c r="B13" s="2">
        <v>15149</v>
      </c>
      <c r="C13" s="2">
        <v>68619.289999999964</v>
      </c>
      <c r="D13" s="2">
        <v>48137.756770000007</v>
      </c>
      <c r="E13" s="2">
        <v>2527907</v>
      </c>
      <c r="F13" s="2">
        <v>8868.0877639999999</v>
      </c>
      <c r="G13" s="2">
        <v>10598.377978</v>
      </c>
      <c r="H13" s="3">
        <f t="shared" si="0"/>
        <v>83.674009196579718</v>
      </c>
      <c r="I13" s="3">
        <v>19478.424440000021</v>
      </c>
      <c r="J13" s="3">
        <v>365.92386632661527</v>
      </c>
      <c r="K13" s="3">
        <v>19844.348306326636</v>
      </c>
      <c r="L13" s="3">
        <v>856.73991698300006</v>
      </c>
      <c r="M13" s="3">
        <v>96.365007077438847</v>
      </c>
      <c r="N13" s="3">
        <v>3.1287196578158309</v>
      </c>
      <c r="O13" s="3">
        <v>956.23364371825483</v>
      </c>
      <c r="P13" s="3">
        <v>1290.7375777539999</v>
      </c>
      <c r="Q13" s="3">
        <f t="shared" si="1"/>
        <v>74.084280197543166</v>
      </c>
    </row>
    <row r="14" spans="1:17" ht="30" customHeight="1" x14ac:dyDescent="0.25">
      <c r="A14" s="4">
        <v>45261</v>
      </c>
      <c r="B14" s="5">
        <v>16092</v>
      </c>
      <c r="C14" s="5">
        <v>73489.416666666657</v>
      </c>
      <c r="D14" s="5">
        <v>51833.641340000002</v>
      </c>
      <c r="E14" s="5">
        <v>2781525</v>
      </c>
      <c r="F14" s="5">
        <v>9937.0198930000006</v>
      </c>
      <c r="G14" s="5">
        <v>11381.224835000001</v>
      </c>
      <c r="H14" s="6">
        <f t="shared" si="0"/>
        <v>87.310636922322075</v>
      </c>
      <c r="I14" s="6">
        <v>19884.068379999997</v>
      </c>
      <c r="J14" s="6">
        <v>336.04007052227598</v>
      </c>
      <c r="K14" s="6">
        <v>20220.108450522272</v>
      </c>
      <c r="L14" s="6">
        <v>917.53033207700037</v>
      </c>
      <c r="M14" s="6">
        <v>95.735629031518883</v>
      </c>
      <c r="N14" s="6">
        <v>2.6978821887957922</v>
      </c>
      <c r="O14" s="6">
        <v>1015.9638432973151</v>
      </c>
      <c r="P14" s="6">
        <v>1292.5342570559997</v>
      </c>
      <c r="Q14" s="6">
        <f t="shared" si="1"/>
        <v>78.602469354380759</v>
      </c>
    </row>
    <row r="15" spans="1:17" ht="30" customHeight="1" x14ac:dyDescent="0.25">
      <c r="A15" s="12">
        <v>45292</v>
      </c>
      <c r="B15" s="2">
        <v>15816</v>
      </c>
      <c r="C15" s="2">
        <v>74001.133333333331</v>
      </c>
      <c r="D15" s="2">
        <v>51277.781000000003</v>
      </c>
      <c r="E15" s="2">
        <v>2729843</v>
      </c>
      <c r="F15" s="2">
        <v>9830.4731649999994</v>
      </c>
      <c r="G15" s="2">
        <v>11312.48907</v>
      </c>
      <c r="H15" s="3">
        <f t="shared" si="0"/>
        <v>86.899294259384419</v>
      </c>
      <c r="I15" s="3">
        <v>18742.322029999999</v>
      </c>
      <c r="J15" s="3">
        <v>321.81533439056375</v>
      </c>
      <c r="K15" s="3">
        <v>19064.137364390561</v>
      </c>
      <c r="L15" s="3">
        <v>931.47479316300019</v>
      </c>
      <c r="M15" s="3">
        <v>87.475719260188811</v>
      </c>
      <c r="N15" s="3">
        <v>2.4811134841466855</v>
      </c>
      <c r="O15" s="3">
        <v>1021.4316259073356</v>
      </c>
      <c r="P15" s="3">
        <v>1402.1508530459996</v>
      </c>
      <c r="Q15" s="3">
        <f t="shared" si="1"/>
        <v>72.847484540511559</v>
      </c>
    </row>
    <row r="16" spans="1:17" ht="30" customHeight="1" x14ac:dyDescent="0.25">
      <c r="A16" s="4">
        <v>45323</v>
      </c>
      <c r="B16" s="5">
        <v>14822</v>
      </c>
      <c r="C16" s="5">
        <v>64584.583333333343</v>
      </c>
      <c r="D16" s="5">
        <v>48141.235000000001</v>
      </c>
      <c r="E16" s="5">
        <v>2544506</v>
      </c>
      <c r="F16" s="5">
        <v>9180.78802</v>
      </c>
      <c r="G16" s="5">
        <v>10619.686135</v>
      </c>
      <c r="H16" s="6">
        <f t="shared" si="0"/>
        <v>86.450653091735646</v>
      </c>
      <c r="I16" s="6">
        <v>22049.071170000003</v>
      </c>
      <c r="J16" s="6">
        <v>286.57831074465673</v>
      </c>
      <c r="K16" s="6">
        <v>22335.649480744662</v>
      </c>
      <c r="L16" s="6">
        <v>871.43897933699986</v>
      </c>
      <c r="M16" s="6">
        <v>99.353785299298877</v>
      </c>
      <c r="N16" s="6">
        <v>2.1397898784279827</v>
      </c>
      <c r="O16" s="6">
        <v>972.93255451472669</v>
      </c>
      <c r="P16" s="6">
        <v>1322.7826613559992</v>
      </c>
      <c r="Q16" s="6">
        <f t="shared" si="1"/>
        <v>73.551958529405184</v>
      </c>
    </row>
    <row r="17" spans="1:17" ht="30" customHeight="1" x14ac:dyDescent="0.25">
      <c r="A17" s="12">
        <v>45352</v>
      </c>
      <c r="B17" s="2">
        <v>16133</v>
      </c>
      <c r="C17" s="2">
        <v>75198.133333333302</v>
      </c>
      <c r="D17" s="2">
        <v>52355.598000000005</v>
      </c>
      <c r="E17" s="2">
        <v>2675807</v>
      </c>
      <c r="F17" s="2">
        <v>9763.9380459999993</v>
      </c>
      <c r="G17" s="2">
        <v>11587.659987999999</v>
      </c>
      <c r="H17" s="3">
        <f t="shared" si="0"/>
        <v>84.261516614324051</v>
      </c>
      <c r="I17" s="3">
        <v>23852.886549999996</v>
      </c>
      <c r="J17" s="3">
        <v>274.14824851176286</v>
      </c>
      <c r="K17" s="3">
        <v>24127.034798511762</v>
      </c>
      <c r="L17" s="3">
        <v>926.07115389800038</v>
      </c>
      <c r="M17" s="3">
        <v>111.63184859536878</v>
      </c>
      <c r="N17" s="3">
        <v>2.3491199539387448</v>
      </c>
      <c r="O17" s="3">
        <v>1040.052122447308</v>
      </c>
      <c r="P17" s="3">
        <v>1442.5889941089954</v>
      </c>
      <c r="Q17" s="3">
        <f t="shared" si="1"/>
        <v>72.096219137571381</v>
      </c>
    </row>
    <row r="18" spans="1:17" ht="30" customHeight="1" x14ac:dyDescent="0.25">
      <c r="A18" s="7" t="s">
        <v>20</v>
      </c>
      <c r="B18" s="8">
        <f>SUM(B6:B17)</f>
        <v>177842</v>
      </c>
      <c r="C18" s="8">
        <f t="shared" ref="C18:G18" si="2">SUM(C6:C17)</f>
        <v>878596.39983333321</v>
      </c>
      <c r="D18" s="8">
        <f t="shared" si="2"/>
        <v>571618.30266000004</v>
      </c>
      <c r="E18" s="8">
        <f t="shared" si="2"/>
        <v>29591159</v>
      </c>
      <c r="F18" s="8">
        <f t="shared" si="2"/>
        <v>105272.21158219999</v>
      </c>
      <c r="G18" s="8">
        <f t="shared" si="2"/>
        <v>125415.492164</v>
      </c>
      <c r="H18" s="9">
        <f t="shared" si="0"/>
        <v>83.93876208255071</v>
      </c>
      <c r="I18" s="9">
        <f>SUM(I6:I17)</f>
        <v>227933.57135000007</v>
      </c>
      <c r="J18" s="9">
        <f t="shared" ref="J18:P18" si="3">SUM(J6:J17)</f>
        <v>4651.6619571106985</v>
      </c>
      <c r="K18" s="9">
        <f t="shared" si="3"/>
        <v>232585.23330711079</v>
      </c>
      <c r="L18" s="9">
        <f t="shared" si="3"/>
        <v>10153.145031808999</v>
      </c>
      <c r="M18" s="9">
        <f t="shared" si="3"/>
        <v>1060.9235409400342</v>
      </c>
      <c r="N18" s="9">
        <f t="shared" si="3"/>
        <v>33.846711404014449</v>
      </c>
      <c r="O18" s="9">
        <f t="shared" si="3"/>
        <v>11247.915284153049</v>
      </c>
      <c r="P18" s="9">
        <f t="shared" si="3"/>
        <v>15371.704827226991</v>
      </c>
      <c r="Q18" s="9">
        <f t="shared" si="1"/>
        <v>73.172854999338014</v>
      </c>
    </row>
    <row r="19" spans="1:17" x14ac:dyDescent="0.25">
      <c r="A19" s="19" t="s">
        <v>19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3"/>
      <c r="Q20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2020-06-11T07:16:07Z</cp:lastPrinted>
  <dcterms:created xsi:type="dcterms:W3CDTF">2018-10-29T04:00:09Z</dcterms:created>
  <dcterms:modified xsi:type="dcterms:W3CDTF">2025-01-28T07:39:06Z</dcterms:modified>
</cp:coreProperties>
</file>