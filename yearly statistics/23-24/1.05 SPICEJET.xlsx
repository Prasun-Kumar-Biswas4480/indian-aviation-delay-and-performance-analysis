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Sandeep Verma\Desktop\Annual reports upload 2022-23\Annual tables pdf and excel 22_23\2023_24\SPICEJET\"/>
    </mc:Choice>
  </mc:AlternateContent>
  <bookViews>
    <workbookView showHorizontalScroll="0" showVerticalScroll="0" showSheetTabs="0" xWindow="0" yWindow="0" windowWidth="24000" windowHeight="10725"/>
  </bookViews>
  <sheets>
    <sheet name="SPICEJET" sheetId="7" r:id="rId1"/>
  </sheets>
  <definedNames>
    <definedName name="_xlnm._FilterDatabase" localSheetId="0" hidden="1">SPICEJET!$A$6:$Q$20</definedName>
    <definedName name="_xlnm.Print_Titles" localSheetId="0">SPICEJET!$1:$5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7" l="1"/>
  <c r="O18" i="7"/>
  <c r="M18" i="7"/>
  <c r="L18" i="7"/>
  <c r="K18" i="7"/>
  <c r="I18" i="7"/>
  <c r="G18" i="7"/>
  <c r="F18" i="7"/>
  <c r="E18" i="7"/>
  <c r="D18" i="7"/>
  <c r="C18" i="7"/>
  <c r="B18" i="7"/>
  <c r="Q17" i="7"/>
  <c r="P17" i="7"/>
  <c r="O17" i="7"/>
  <c r="M17" i="7"/>
  <c r="L17" i="7"/>
  <c r="K17" i="7"/>
  <c r="I17" i="7"/>
  <c r="H17" i="7"/>
  <c r="G17" i="7"/>
  <c r="F17" i="7"/>
  <c r="E17" i="7"/>
  <c r="D17" i="7"/>
  <c r="C17" i="7"/>
  <c r="B17" i="7"/>
  <c r="H10" i="7"/>
  <c r="H11" i="7"/>
  <c r="H12" i="7"/>
  <c r="H13" i="7"/>
  <c r="H14" i="7"/>
  <c r="H15" i="7"/>
  <c r="H16" i="7"/>
  <c r="Q10" i="7"/>
  <c r="Q11" i="7"/>
  <c r="Q12" i="7"/>
  <c r="Q13" i="7"/>
  <c r="Q14" i="7"/>
  <c r="Q15" i="7"/>
  <c r="Q16" i="7"/>
  <c r="Q18" i="7" s="1"/>
  <c r="P13" i="7"/>
  <c r="O13" i="7"/>
  <c r="M13" i="7"/>
  <c r="L13" i="7"/>
  <c r="G13" i="7"/>
  <c r="F13" i="7"/>
  <c r="Q9" i="7"/>
  <c r="H9" i="7"/>
  <c r="Q8" i="7"/>
  <c r="H8" i="7"/>
  <c r="Q7" i="7"/>
  <c r="H7" i="7"/>
  <c r="Q6" i="7"/>
  <c r="H6" i="7"/>
  <c r="H18" i="7" s="1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<sst xmlns="http://schemas.openxmlformats.org/spreadsheetml/2006/main" count="40" uniqueCount="38">
  <si>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</si>
  <si>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</si>
  <si>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</si>
  <si>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</si>
  <si>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</si>
  <si>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</si>
  <si>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</si>
  <si>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</si>
  <si>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</si>
  <si>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</si>
  <si>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</si>
  <si>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</si>
  <si>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</si>
  <si>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</si>
  <si>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</si>
  <si>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</si>
  <si>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</si>
  <si>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</si>
  <si>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</si>
  <si>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</si>
  <si>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</si>
  <si>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</si>
  <si>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</si>
  <si>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</si>
  <si>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2018-19</t>
  </si>
  <si>
    <t xml:space="preserve">तालिका - 1.05 (स्पाइसजेट) </t>
  </si>
  <si>
    <t>TABLE - 1.05 (SPICEJET)</t>
  </si>
  <si>
    <t>SOURCE: ICAO ATR FORM 'A' FURNISHED BY SPICEJET</t>
  </si>
  <si>
    <t>2019-20</t>
  </si>
  <si>
    <t xml:space="preserve">YEAR ON YEAR GROWTH AND CAGR FOR LAST TEN YEARS OF SPICEJET ON SCHEDULED INTERNATIONAL SERVICES (ALL AIR TRAFFIC AND OPERATING STATISTICS) 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</si>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</sst>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%"/>
    <numFmt numFmtId="165" formatCode="[$-1010409]mmmm/yy;@"/>
    <numFmt numFmtId="166" formatCode="_(* #,##0_);_(* \(#,##0\);_(* &quot;-&quot;??_);_(@_)"/>
    <numFmt numFmtId="167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0" fillId="4" borderId="1" xfId="3" applyFont="1" applyBorder="1" applyAlignment="1" applyProtection="1">
      <alignment horizontal="center" vertical="center" wrapText="1"/>
    </xf>
    <xf numFmtId="164" fontId="5" fillId="6" borderId="1" xfId="1" applyNumberFormat="1" applyFont="1" applyFill="1" applyBorder="1" applyAlignment="1" applyProtection="1">
      <alignment horizontal="center" vertical="center" wrapText="1"/>
    </xf>
    <xf numFmtId="0" fontId="6" fillId="3" borderId="1" xfId="2" applyFont="1" applyBorder="1" applyAlignment="1" applyProtection="1">
      <alignment horizontal="center" vertical="center" textRotation="90" wrapText="1"/>
    </xf>
    <xf numFmtId="164" fontId="0" fillId="0" borderId="1" xfId="1" applyNumberFormat="1" applyFont="1" applyBorder="1" applyAlignment="1">
      <alignment horizontal="center" vertical="center"/>
    </xf>
    <xf numFmtId="165" fontId="3" fillId="5" borderId="1" xfId="4" applyNumberFormat="1" applyBorder="1" applyAlignment="1">
      <alignment horizontal="center" vertical="center"/>
    </xf>
    <xf numFmtId="166" fontId="3" fillId="5" borderId="1" xfId="4" applyNumberFormat="1" applyBorder="1" applyAlignment="1">
      <alignment horizontal="right" vertical="center"/>
    </xf>
    <xf numFmtId="167" fontId="3" fillId="5" borderId="1" xfId="4" applyNumberFormat="1" applyBorder="1" applyAlignment="1">
      <alignment horizontal="right" vertical="center"/>
    </xf>
    <xf numFmtId="167" fontId="7" fillId="7" borderId="1" xfId="5" applyNumberFormat="1" applyFont="1" applyFill="1" applyBorder="1" applyAlignment="1">
      <alignment horizontal="right" vertical="center"/>
    </xf>
    <xf numFmtId="165" fontId="7" fillId="0" borderId="1" xfId="5" applyNumberFormat="1" applyFont="1" applyFill="1" applyBorder="1" applyAlignment="1">
      <alignment horizontal="center" vertical="center"/>
    </xf>
    <xf numFmtId="166" fontId="7" fillId="0" borderId="1" xfId="5" applyNumberFormat="1" applyFont="1" applyFill="1" applyBorder="1" applyAlignment="1">
      <alignment horizontal="right" vertical="center"/>
    </xf>
    <xf numFmtId="167" fontId="7" fillId="0" borderId="1" xfId="5" applyNumberFormat="1" applyFont="1" applyFill="1" applyBorder="1" applyAlignment="1">
      <alignment horizontal="right" vertical="center"/>
    </xf>
    <xf numFmtId="167" fontId="3" fillId="8" borderId="1" xfId="4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165" fontId="0" fillId="5" borderId="1" xfId="4" applyNumberFormat="1" applyFont="1" applyBorder="1" applyAlignment="1">
      <alignment horizontal="center" vertical="center"/>
    </xf>
    <xf numFmtId="0" fontId="6" fillId="5" borderId="1" xfId="4" applyFont="1" applyBorder="1" applyAlignment="1">
      <alignment horizontal="center" vertical="center" wrapText="1"/>
    </xf>
    <xf numFmtId="0" fontId="6" fillId="5" borderId="1" xfId="4" quotePrefix="1" applyFont="1" applyBorder="1" applyAlignment="1" applyProtection="1">
      <alignment horizontal="center" vertical="center" wrapText="1"/>
    </xf>
    <xf numFmtId="0" fontId="6" fillId="5" borderId="1" xfId="4" applyFont="1" applyBorder="1"/>
    <xf numFmtId="0" fontId="6" fillId="3" borderId="1" xfId="2" applyFont="1" applyBorder="1" applyAlignment="1" applyProtection="1">
      <alignment horizontal="center" vertical="center" wrapText="1"/>
    </xf>
    <xf numFmtId="0" fontId="6" fillId="3" borderId="1" xfId="2" applyFont="1" applyBorder="1"/>
    <xf numFmtId="0" fontId="6" fillId="3" borderId="1" xfId="2" applyFont="1" applyBorder="1" applyAlignment="1" applyProtection="1">
      <alignment horizontal="center" vertical="center" textRotation="90" wrapText="1"/>
    </xf>
    <xf numFmtId="0" fontId="6" fillId="3" borderId="1" xfId="2" applyFont="1" applyBorder="1" applyAlignment="1">
      <alignment textRotation="90"/>
    </xf>
    <xf numFmtId="0" fontId="1" fillId="0" borderId="3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6">
    <cellStyle name="20% - Accent6" xfId="3" builtinId="50"/>
    <cellStyle name="40% - Accent6" xfId="4" builtinId="51"/>
    <cellStyle name="Accent6" xfId="2" builtinId="4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topLeftCell="A4" zoomScaleNormal="100" zoomScaleSheetLayoutView="100" workbookViewId="0">
      <selection activeCell="E14" sqref="E14"/>
    </sheetView>
  </sheetViews>
  <sheetFormatPr defaultRowHeight="15" x14ac:dyDescent="0.25"/>
  <cols>
    <col min="1" max="1" width="12.42578125" customWidth="1"/>
    <col min="2" max="2" width="8.85546875" customWidth="1"/>
    <col min="3" max="3" width="9.85546875" customWidth="1"/>
    <col min="4" max="4" width="9.5703125" customWidth="1"/>
    <col min="5" max="5" width="11.7109375" customWidth="1"/>
    <col min="8" max="8" width="7.28515625" customWidth="1"/>
    <col min="9" max="9" width="9.85546875" bestFit="1" customWidth="1"/>
    <col min="10" max="10" width="7.85546875" bestFit="1" customWidth="1"/>
    <col min="11" max="11" width="10.42578125" customWidth="1"/>
    <col min="13" max="13" width="9.42578125" customWidth="1"/>
    <col min="14" max="14" width="6.7109375" customWidth="1"/>
    <col min="16" max="16" width="9.140625" customWidth="1"/>
    <col min="17" max="17" width="7.7109375" customWidth="1"/>
  </cols>
  <sheetData>
    <row r="1" spans="1:17" x14ac:dyDescent="0.25">
      <c r="A1" s="15" t="s">
        <v>25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26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29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20" t="s">
        <v>3</v>
      </c>
      <c r="H4" s="2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20" t="s">
        <v>7</v>
      </c>
      <c r="Q4" s="20" t="s">
        <v>8</v>
      </c>
    </row>
    <row r="5" spans="1:17" ht="123" customHeight="1" x14ac:dyDescent="0.25">
      <c r="A5" s="18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21"/>
      <c r="H5" s="21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21"/>
      <c r="Q5" s="21"/>
    </row>
    <row r="6" spans="1:17" ht="17.100000000000001" customHeight="1" x14ac:dyDescent="0.25">
      <c r="A6" s="5" t="s">
        <v>19</v>
      </c>
      <c r="B6" s="6">
        <v>9312</v>
      </c>
      <c r="C6" s="6">
        <v>23963</v>
      </c>
      <c r="D6" s="6">
        <v>15335.874999999998</v>
      </c>
      <c r="E6" s="6">
        <v>1137567</v>
      </c>
      <c r="F6" s="6">
        <v>2178.4486139999999</v>
      </c>
      <c r="G6" s="6">
        <v>2990.5198510000005</v>
      </c>
      <c r="H6" s="7">
        <f t="shared" ref="H6:H16" si="0">F6/G6*100</f>
        <v>72.845148085927207</v>
      </c>
      <c r="I6" s="7">
        <v>3364.5205999999998</v>
      </c>
      <c r="J6" s="7"/>
      <c r="K6" s="7">
        <v>3364.5205999999998</v>
      </c>
      <c r="L6" s="7">
        <v>162.39578299999999</v>
      </c>
      <c r="M6" s="7">
        <v>6.7211014950000001</v>
      </c>
      <c r="N6" s="7"/>
      <c r="O6" s="7">
        <v>169.11688449499999</v>
      </c>
      <c r="P6" s="7">
        <v>252.32566200000002</v>
      </c>
      <c r="Q6" s="8">
        <f t="shared" ref="Q6:Q16" si="1">O6/P6*100</f>
        <v>67.023260002385314</v>
      </c>
    </row>
    <row r="7" spans="1:17" ht="17.100000000000001" customHeight="1" x14ac:dyDescent="0.25">
      <c r="A7" s="9" t="s">
        <v>20</v>
      </c>
      <c r="B7" s="10">
        <v>7861</v>
      </c>
      <c r="C7" s="10">
        <v>17204</v>
      </c>
      <c r="D7" s="10">
        <v>10967.817999999999</v>
      </c>
      <c r="E7" s="10">
        <v>983970</v>
      </c>
      <c r="F7" s="10">
        <v>1641.260869</v>
      </c>
      <c r="G7" s="10">
        <v>2076.857575</v>
      </c>
      <c r="H7" s="11">
        <f t="shared" si="0"/>
        <v>79.026163794597224</v>
      </c>
      <c r="I7" s="11">
        <v>2874.7762199999997</v>
      </c>
      <c r="J7" s="11"/>
      <c r="K7" s="11">
        <v>2874.7762199999997</v>
      </c>
      <c r="L7" s="11">
        <v>122.84548800000002</v>
      </c>
      <c r="M7" s="11">
        <v>5.6268293867700008</v>
      </c>
      <c r="N7" s="11"/>
      <c r="O7" s="12">
        <v>128.47231738676999</v>
      </c>
      <c r="P7" s="11">
        <v>178.10503599999996</v>
      </c>
      <c r="Q7" s="11">
        <f t="shared" si="1"/>
        <v>72.132894314549318</v>
      </c>
    </row>
    <row r="8" spans="1:17" ht="17.100000000000001" customHeight="1" x14ac:dyDescent="0.25">
      <c r="A8" s="5" t="s">
        <v>21</v>
      </c>
      <c r="B8" s="6">
        <v>9048</v>
      </c>
      <c r="C8" s="6">
        <v>22295</v>
      </c>
      <c r="D8" s="6">
        <v>15508.349000000002</v>
      </c>
      <c r="E8" s="6">
        <v>1243590</v>
      </c>
      <c r="F8" s="6">
        <v>2372.948093</v>
      </c>
      <c r="G8" s="6">
        <v>2777.0067869999998</v>
      </c>
      <c r="H8" s="7">
        <f t="shared" si="0"/>
        <v>85.449848524262904</v>
      </c>
      <c r="I8" s="7">
        <v>4257.9879099999998</v>
      </c>
      <c r="J8" s="7"/>
      <c r="K8" s="7">
        <v>4257.9879099999998</v>
      </c>
      <c r="L8" s="7">
        <v>177.97102242</v>
      </c>
      <c r="M8" s="7">
        <v>8.2533945600000003</v>
      </c>
      <c r="N8" s="7"/>
      <c r="O8" s="7">
        <v>186.22441697999997</v>
      </c>
      <c r="P8" s="7">
        <v>239.99859800000002</v>
      </c>
      <c r="Q8" s="8">
        <f t="shared" si="1"/>
        <v>77.593960353051713</v>
      </c>
    </row>
    <row r="9" spans="1:17" ht="17.100000000000001" customHeight="1" x14ac:dyDescent="0.25">
      <c r="A9" s="9" t="s">
        <v>22</v>
      </c>
      <c r="B9" s="10">
        <v>11438</v>
      </c>
      <c r="C9" s="10">
        <v>29754</v>
      </c>
      <c r="D9" s="10">
        <v>21095.363000000001</v>
      </c>
      <c r="E9" s="10">
        <v>1678661</v>
      </c>
      <c r="F9" s="10">
        <v>3368.61249</v>
      </c>
      <c r="G9" s="10">
        <v>3863.277126</v>
      </c>
      <c r="H9" s="11">
        <f t="shared" si="0"/>
        <v>87.195724772864764</v>
      </c>
      <c r="I9" s="11">
        <v>6506.8878400000003</v>
      </c>
      <c r="J9" s="11"/>
      <c r="K9" s="11">
        <v>6506.8878400000003</v>
      </c>
      <c r="L9" s="11">
        <v>252.64686599999996</v>
      </c>
      <c r="M9" s="11">
        <v>13.376788529999997</v>
      </c>
      <c r="N9" s="11"/>
      <c r="O9" s="12">
        <v>266.02365452999999</v>
      </c>
      <c r="P9" s="11">
        <v>331.18684100000002</v>
      </c>
      <c r="Q9" s="11">
        <f t="shared" si="1"/>
        <v>80.324343119055257</v>
      </c>
    </row>
    <row r="10" spans="1:17" ht="17.100000000000001" customHeight="1" x14ac:dyDescent="0.25">
      <c r="A10" s="5" t="s">
        <v>23</v>
      </c>
      <c r="B10" s="6">
        <v>13931</v>
      </c>
      <c r="C10" s="6">
        <v>33380</v>
      </c>
      <c r="D10" s="6">
        <v>23465.7</v>
      </c>
      <c r="E10" s="6">
        <v>1959204</v>
      </c>
      <c r="F10" s="6">
        <v>3806.5655999999999</v>
      </c>
      <c r="G10" s="6">
        <v>4255.6723000000002</v>
      </c>
      <c r="H10" s="7">
        <f t="shared" si="0"/>
        <v>89.446868359671399</v>
      </c>
      <c r="I10" s="7">
        <v>8513.0093199999992</v>
      </c>
      <c r="J10" s="7"/>
      <c r="K10" s="7">
        <v>8513.0093199999992</v>
      </c>
      <c r="L10" s="7">
        <v>285.49209999999999</v>
      </c>
      <c r="M10" s="7">
        <v>17.0824</v>
      </c>
      <c r="N10" s="7"/>
      <c r="O10" s="7">
        <v>302.5745</v>
      </c>
      <c r="P10" s="7">
        <v>363.69079999999997</v>
      </c>
      <c r="Q10" s="8">
        <f t="shared" si="1"/>
        <v>83.195533128690641</v>
      </c>
    </row>
    <row r="11" spans="1:17" ht="17.100000000000001" customHeight="1" x14ac:dyDescent="0.25">
      <c r="A11" s="9" t="s">
        <v>24</v>
      </c>
      <c r="B11" s="10">
        <v>14866</v>
      </c>
      <c r="C11" s="10">
        <v>38572</v>
      </c>
      <c r="D11" s="10">
        <v>27315.667000000001</v>
      </c>
      <c r="E11" s="10">
        <v>2239282</v>
      </c>
      <c r="F11" s="10">
        <v>4469.7458039999992</v>
      </c>
      <c r="G11" s="10">
        <v>5075.3610420000005</v>
      </c>
      <c r="H11" s="11">
        <f t="shared" si="0"/>
        <v>88.067543707957526</v>
      </c>
      <c r="I11" s="11">
        <v>18429.919999999998</v>
      </c>
      <c r="J11" s="11"/>
      <c r="K11" s="11">
        <v>18429.919999999998</v>
      </c>
      <c r="L11" s="11">
        <v>335.23090599999995</v>
      </c>
      <c r="M11" s="11">
        <v>22.786607</v>
      </c>
      <c r="N11" s="11"/>
      <c r="O11" s="12">
        <v>358.01751300000001</v>
      </c>
      <c r="P11" s="11">
        <v>431.50635900000003</v>
      </c>
      <c r="Q11" s="11">
        <f t="shared" si="1"/>
        <v>82.969232210086616</v>
      </c>
    </row>
    <row r="12" spans="1:17" ht="17.100000000000001" customHeight="1" x14ac:dyDescent="0.25">
      <c r="A12" s="5" t="s">
        <v>28</v>
      </c>
      <c r="B12" s="6">
        <v>19377</v>
      </c>
      <c r="C12" s="6">
        <v>58897.749999999993</v>
      </c>
      <c r="D12" s="6">
        <v>42344.908000000003</v>
      </c>
      <c r="E12" s="6">
        <v>2793549</v>
      </c>
      <c r="F12" s="6">
        <v>6373.5200620000014</v>
      </c>
      <c r="G12" s="6">
        <v>7744.1065989999997</v>
      </c>
      <c r="H12" s="7">
        <f t="shared" si="0"/>
        <v>82.301553839961571</v>
      </c>
      <c r="I12" s="7">
        <v>25230.279697554997</v>
      </c>
      <c r="J12" s="7"/>
      <c r="K12" s="7">
        <v>25230.283187555</v>
      </c>
      <c r="L12" s="7">
        <v>478.01400807999994</v>
      </c>
      <c r="M12" s="7">
        <v>36.497435100000004</v>
      </c>
      <c r="N12" s="7"/>
      <c r="O12" s="7">
        <v>514.5114431799999</v>
      </c>
      <c r="P12" s="7">
        <v>673.45533</v>
      </c>
      <c r="Q12" s="8">
        <f t="shared" si="1"/>
        <v>76.398748403995839</v>
      </c>
    </row>
    <row r="13" spans="1:17" ht="17.100000000000001" customHeight="1" x14ac:dyDescent="0.25">
      <c r="A13" s="9" t="s">
        <v>30</v>
      </c>
      <c r="B13" s="10">
        <v>9498</v>
      </c>
      <c r="C13" s="10">
        <v>32206.303333333333</v>
      </c>
      <c r="D13" s="10">
        <v>23689.15</v>
      </c>
      <c r="E13" s="10">
        <v>648418</v>
      </c>
      <c r="F13" s="10">
        <f>1699629.532/1000</f>
        <v>1699.6295319999999</v>
      </c>
      <c r="G13" s="10">
        <f>2063843.782/1000</f>
        <v>2063.8437819999999</v>
      </c>
      <c r="H13" s="11">
        <f t="shared" si="0"/>
        <v>82.352625078674677</v>
      </c>
      <c r="I13" s="11">
        <v>50785.313629999997</v>
      </c>
      <c r="J13" s="11"/>
      <c r="K13" s="11">
        <v>50785.313629999997</v>
      </c>
      <c r="L13" s="11">
        <f>127471.84012/1000</f>
        <v>127.47184012</v>
      </c>
      <c r="M13" s="11">
        <f>107645.61389893/1000</f>
        <v>107.64561389892999</v>
      </c>
      <c r="N13" s="11"/>
      <c r="O13" s="12">
        <f>235117.45401893/1000</f>
        <v>235.11745401893</v>
      </c>
      <c r="P13" s="11">
        <f>534249.19253/1000</f>
        <v>534.24919252999996</v>
      </c>
      <c r="Q13" s="11">
        <f t="shared" si="1"/>
        <v>44.00894887748985</v>
      </c>
    </row>
    <row r="14" spans="1:17" ht="17.100000000000001" customHeight="1" x14ac:dyDescent="0.25">
      <c r="A14" s="14" t="s">
        <v>37</v>
      </c>
      <c r="B14" s="6">
        <v>10982</v>
      </c>
      <c r="C14" s="6">
        <v>42733.616666666661</v>
      </c>
      <c r="D14" s="6">
        <v>31577.887000000002</v>
      </c>
      <c r="E14" s="6">
        <v>769479</v>
      </c>
      <c r="F14" s="6">
        <v>1905.284349</v>
      </c>
      <c r="G14" s="6">
        <v>2556.2378569999996</v>
      </c>
      <c r="H14" s="7">
        <f t="shared" si="0"/>
        <v>74.534705124664796</v>
      </c>
      <c r="I14" s="7">
        <v>57991.900449999994</v>
      </c>
      <c r="J14" s="7"/>
      <c r="K14" s="7">
        <v>57991.900449999994</v>
      </c>
      <c r="L14" s="7">
        <v>142.89632620999998</v>
      </c>
      <c r="M14" s="7">
        <v>186.21755846871</v>
      </c>
      <c r="N14" s="7">
        <v>0</v>
      </c>
      <c r="O14" s="7">
        <v>329.11388467870995</v>
      </c>
      <c r="P14" s="7">
        <v>900.07751650200009</v>
      </c>
      <c r="Q14" s="8">
        <f t="shared" si="1"/>
        <v>36.56506008035349</v>
      </c>
    </row>
    <row r="15" spans="1:17" ht="18.75" customHeight="1" x14ac:dyDescent="0.25">
      <c r="A15" s="9" t="s">
        <v>32</v>
      </c>
      <c r="B15" s="10">
        <v>12354</v>
      </c>
      <c r="C15" s="10">
        <v>39296.583333333336</v>
      </c>
      <c r="D15" s="10">
        <v>28702.714999999997</v>
      </c>
      <c r="E15" s="10">
        <v>1911174</v>
      </c>
      <c r="F15" s="10">
        <v>4586.5848899999992</v>
      </c>
      <c r="G15" s="10">
        <v>5400.6456450000005</v>
      </c>
      <c r="H15" s="11">
        <f t="shared" si="0"/>
        <v>84.926603067289349</v>
      </c>
      <c r="I15" s="11">
        <v>7284.4891500000003</v>
      </c>
      <c r="J15" s="11"/>
      <c r="K15" s="11">
        <v>7284.4891500000003</v>
      </c>
      <c r="L15" s="11">
        <v>343.99386675</v>
      </c>
      <c r="M15" s="11">
        <v>16.995869363050002</v>
      </c>
      <c r="N15" s="11"/>
      <c r="O15" s="12">
        <v>360.98973611305001</v>
      </c>
      <c r="P15" s="11">
        <v>532.03976899999998</v>
      </c>
      <c r="Q15" s="11">
        <f t="shared" si="1"/>
        <v>67.850141501931603</v>
      </c>
    </row>
    <row r="16" spans="1:17" x14ac:dyDescent="0.25">
      <c r="A16" s="5" t="s">
        <v>33</v>
      </c>
      <c r="B16" s="6">
        <v>11394</v>
      </c>
      <c r="C16" s="6">
        <v>37381.35</v>
      </c>
      <c r="D16" s="6">
        <v>27462.240000000002</v>
      </c>
      <c r="E16" s="6">
        <v>1802972</v>
      </c>
      <c r="F16" s="6">
        <v>4013.7673862000001</v>
      </c>
      <c r="G16" s="6">
        <v>4731.8077119999998</v>
      </c>
      <c r="H16" s="7">
        <f t="shared" si="0"/>
        <v>84.825242919761322</v>
      </c>
      <c r="I16" s="7">
        <v>3071.4193399999999</v>
      </c>
      <c r="J16" s="7"/>
      <c r="K16" s="7">
        <v>3071.4193399999999</v>
      </c>
      <c r="L16" s="7">
        <v>327.15121470000008</v>
      </c>
      <c r="M16" s="7">
        <v>7.0105632933799997</v>
      </c>
      <c r="N16" s="7"/>
      <c r="O16" s="7">
        <v>334.1617779933801</v>
      </c>
      <c r="P16" s="7">
        <v>512.31259599999998</v>
      </c>
      <c r="Q16" s="8">
        <f t="shared" si="1"/>
        <v>65.226149152378071</v>
      </c>
    </row>
    <row r="17" spans="1:17" x14ac:dyDescent="0.25">
      <c r="A17" s="1" t="s">
        <v>34</v>
      </c>
      <c r="B17" s="2">
        <f t="shared" ref="B17:I17" si="2">(B16-B15)/B15</f>
        <v>-7.7707625060709079E-2</v>
      </c>
      <c r="C17" s="2">
        <f t="shared" si="2"/>
        <v>-4.8737909784353696E-2</v>
      </c>
      <c r="D17" s="2">
        <f t="shared" si="2"/>
        <v>-4.321803703935307E-2</v>
      </c>
      <c r="E17" s="2">
        <f t="shared" si="2"/>
        <v>-5.6615462537686262E-2</v>
      </c>
      <c r="F17" s="2">
        <f t="shared" si="2"/>
        <v>-0.12488976385216302</v>
      </c>
      <c r="G17" s="2">
        <f t="shared" si="2"/>
        <v>-0.12384406920295186</v>
      </c>
      <c r="H17" s="2">
        <f t="shared" si="2"/>
        <v>-1.1935029056527407E-3</v>
      </c>
      <c r="I17" s="2">
        <f t="shared" si="2"/>
        <v>-0.57836173865397278</v>
      </c>
      <c r="J17" s="2"/>
      <c r="K17" s="2">
        <f>(K16-K15)/K15</f>
        <v>-0.57836173865397278</v>
      </c>
      <c r="L17" s="2">
        <f>(L16-L15)/L15</f>
        <v>-4.8962070775059575E-2</v>
      </c>
      <c r="M17" s="2">
        <f>(M16-M15)/M15</f>
        <v>-0.58751369855658186</v>
      </c>
      <c r="N17" s="2"/>
      <c r="O17" s="2">
        <f>(O16-O15)/O15</f>
        <v>-7.4317786451602294E-2</v>
      </c>
      <c r="P17" s="2">
        <f>(P16-P15)/P15</f>
        <v>-3.7078380507303756E-2</v>
      </c>
      <c r="Q17" s="2">
        <f>(Q16-Q15)/Q15</f>
        <v>-3.8673351174644648E-2</v>
      </c>
    </row>
    <row r="18" spans="1:17" ht="30" x14ac:dyDescent="0.25">
      <c r="A18" s="13" t="s">
        <v>35</v>
      </c>
      <c r="B18" s="4">
        <f t="shared" ref="B18:I18" si="3">(((B16/B6)^(1/10))-1)</f>
        <v>2.0383259170636991E-2</v>
      </c>
      <c r="C18" s="4">
        <f t="shared" si="3"/>
        <v>4.5469528718119268E-2</v>
      </c>
      <c r="D18" s="4">
        <f t="shared" si="3"/>
        <v>5.9992371633229791E-2</v>
      </c>
      <c r="E18" s="4">
        <f t="shared" si="3"/>
        <v>4.7131440707901318E-2</v>
      </c>
      <c r="F18" s="4">
        <f t="shared" si="3"/>
        <v>6.3017680597287962E-2</v>
      </c>
      <c r="G18" s="4">
        <f t="shared" si="3"/>
        <v>4.6955059037501634E-2</v>
      </c>
      <c r="H18" s="4">
        <f t="shared" si="3"/>
        <v>1.5342226412806248E-2</v>
      </c>
      <c r="I18" s="4">
        <f t="shared" si="3"/>
        <v>-9.0731588026164989E-3</v>
      </c>
      <c r="J18" s="4"/>
      <c r="K18" s="4">
        <f>(((K16/K6)^(1/10))-1)</f>
        <v>-9.0731588026164989E-3</v>
      </c>
      <c r="L18" s="4">
        <f>(((L16/L6)^(1/10))-1)</f>
        <v>7.2549584477386686E-2</v>
      </c>
      <c r="M18" s="4">
        <f>(((M16/M6)^(1/10))-1)</f>
        <v>4.2255023115191914E-3</v>
      </c>
      <c r="N18" s="4"/>
      <c r="O18" s="4">
        <f>(((O16/O6)^(1/10))-1)</f>
        <v>7.047611210092164E-2</v>
      </c>
      <c r="P18" s="4">
        <f>(((P16/P6)^(1/10))-1)</f>
        <v>7.3389545936839218E-2</v>
      </c>
      <c r="Q18" s="4">
        <f>(((Q16/Q6)^(1/10))-1)</f>
        <v>-2.7142372002280091E-3</v>
      </c>
    </row>
    <row r="19" spans="1:17" x14ac:dyDescent="0.25">
      <c r="A19" s="27" t="s">
        <v>27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</row>
    <row r="20" spans="1:17" ht="21.75" customHeight="1" x14ac:dyDescent="0.25">
      <c r="A20" s="25" t="s">
        <v>36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</row>
    <row r="21" spans="1:17" ht="21.75" customHeight="1" x14ac:dyDescent="0.25">
      <c r="A21" s="22" t="s">
        <v>31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SPICEJET</vt:lpstr>
      <vt:lpstr>SPICEJET!Print_Titles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2022-04-26T05:59:02Z</cp:lastPrinted>
  <dcterms:created xsi:type="dcterms:W3CDTF">2018-10-29T04:00:15Z</dcterms:created>
  <dcterms:modified xsi:type="dcterms:W3CDTF">2024-11-21T07:37:19Z</dcterms:modified>
</cp:coreProperties>
</file>