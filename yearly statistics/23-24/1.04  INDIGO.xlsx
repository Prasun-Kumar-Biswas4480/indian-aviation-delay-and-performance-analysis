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xWindow="0" yWindow="0" windowWidth="10875" windowHeight="9495"/>
  </bookViews>
  <sheets>
    <sheet name="INDIGO" sheetId="11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1" l="1"/>
  <c r="O16" i="11"/>
  <c r="H17" i="11" l="1"/>
  <c r="Q17" i="11" l="1"/>
  <c r="C18" i="11" l="1"/>
  <c r="D18" i="11"/>
  <c r="E18" i="11"/>
  <c r="F18" i="11"/>
  <c r="G18" i="11"/>
  <c r="H18" i="11"/>
  <c r="I18" i="11"/>
  <c r="K18" i="11"/>
  <c r="L18" i="11"/>
  <c r="M18" i="11"/>
  <c r="O18" i="11"/>
  <c r="P18" i="11"/>
  <c r="Q18" i="11"/>
  <c r="B18" i="11" l="1"/>
  <c r="F17" i="11" l="1"/>
  <c r="I17" i="11"/>
  <c r="J17" i="11"/>
  <c r="N17" i="11"/>
  <c r="M17" i="11"/>
  <c r="G17" i="11"/>
  <c r="E17" i="11"/>
  <c r="P17" i="11" l="1"/>
  <c r="D17" i="11"/>
  <c r="L17" i="11"/>
  <c r="C17" i="11"/>
  <c r="B17" i="11"/>
  <c r="K17" i="11" l="1"/>
  <c r="O17" i="11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<sst xmlns="http://schemas.openxmlformats.org/spreadsheetml/2006/main" count="39" uniqueCount="37">
  <si>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</si>
  <si>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</si>
  <si>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</si>
  <si>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</si>
  <si>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</si>
  <si>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</si>
  <si>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</si>
  <si>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</si>
  <si>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</si>
  <si>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</si>
  <si>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</si>
  <si>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</si>
  <si>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</si>
  <si>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</si>
  <si>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</si>
  <si>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</si>
  <si>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</si>
  <si>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</si>
  <si>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</si>
  <si>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</si>
  <si>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</si>
  <si>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</si>
  <si>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</si>
  <si>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</si>
  <si>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</si>
  <si>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तालिका - 1.04 (इंडिगो) </t>
  </si>
  <si>
    <t>TABLE - 1.04 (INDIGO)</t>
  </si>
  <si>
    <t>SOURCE: ICAO ATR FORM 'A' FURNISHED BY INDIGO</t>
  </si>
  <si>
    <t>2019-20</t>
  </si>
  <si>
    <t xml:space="preserve">YEAR ON YEAR GROWTH AND CAGR FOR LAST TEN YEARS OF INDIGO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</si>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</sst>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6" borderId="0" applyNumberFormat="0" applyBorder="0" applyAlignment="0" applyProtection="0"/>
  </cellStyleXfs>
  <cellXfs count="23">
    <xf numFmtId="0" fontId="0" fillId="0" borderId="0" xfId="0"/>
    <xf numFmtId="0" fontId="2" fillId="5" borderId="1" xfId="3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64" fontId="1" fillId="2" borderId="1" xfId="4" applyNumberFormat="1" applyFont="1" applyFill="1" applyBorder="1" applyAlignment="1" applyProtection="1">
      <alignment horizontal="center" vertical="center" wrapText="1"/>
    </xf>
    <xf numFmtId="164" fontId="2" fillId="5" borderId="1" xfId="4" applyNumberFormat="1" applyFill="1" applyBorder="1" applyAlignment="1" applyProtection="1">
      <alignment horizontal="center"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165" fontId="2" fillId="6" borderId="1" xfId="6" applyNumberFormat="1" applyBorder="1" applyAlignment="1">
      <alignment horizontal="center" vertical="center"/>
    </xf>
    <xf numFmtId="166" fontId="2" fillId="6" borderId="1" xfId="6" applyNumberFormat="1" applyBorder="1" applyAlignment="1">
      <alignment horizontal="right" vertical="center"/>
    </xf>
    <xf numFmtId="167" fontId="2" fillId="6" borderId="1" xfId="6" applyNumberFormat="1" applyBorder="1" applyAlignment="1">
      <alignment horizontal="right" vertical="center"/>
    </xf>
    <xf numFmtId="165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0" fontId="1" fillId="4" borderId="1" xfId="2" applyFont="1" applyBorder="1" applyAlignment="1">
      <alignment textRotation="90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vertical="center"/>
    </xf>
    <xf numFmtId="0" fontId="1" fillId="3" borderId="1" xfId="1" applyFont="1" applyBorder="1" applyAlignment="1">
      <alignment horizontal="center" vertical="center" wrapText="1"/>
    </xf>
    <xf numFmtId="0" fontId="1" fillId="3" borderId="1" xfId="1" quotePrefix="1" applyFont="1" applyBorder="1" applyAlignment="1" applyProtection="1">
      <alignment horizontal="center" vertical="center" wrapText="1"/>
    </xf>
    <xf numFmtId="0" fontId="1" fillId="3" borderId="1" xfId="1" applyFont="1" applyBorder="1"/>
    <xf numFmtId="0" fontId="1" fillId="4" borderId="1" xfId="2" applyFont="1" applyBorder="1" applyAlignment="1" applyProtection="1">
      <alignment horizontal="center" vertical="center" wrapText="1"/>
    </xf>
    <xf numFmtId="0" fontId="1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85" zoomScaleNormal="100" zoomScaleSheetLayoutView="85" workbookViewId="0">
      <selection activeCell="A18" sqref="A18"/>
    </sheetView>
  </sheetViews>
  <sheetFormatPr defaultRowHeight="15" x14ac:dyDescent="0.25"/>
  <cols>
    <col min="1" max="1" width="10.42578125" customWidth="1"/>
    <col min="2" max="2" width="9.7109375" customWidth="1"/>
    <col min="3" max="3" width="12" customWidth="1"/>
    <col min="4" max="4" width="9.42578125" customWidth="1"/>
    <col min="5" max="5" width="12.85546875" customWidth="1"/>
    <col min="6" max="6" width="10.5703125" customWidth="1"/>
    <col min="7" max="7" width="14.28515625" customWidth="1"/>
    <col min="8" max="8" width="9.7109375" customWidth="1"/>
    <col min="9" max="9" width="11.5703125" customWidth="1"/>
    <col min="10" max="10" width="10.140625" customWidth="1"/>
    <col min="11" max="11" width="11" customWidth="1"/>
    <col min="12" max="12" width="9.28515625" customWidth="1"/>
    <col min="13" max="13" width="8.28515625" customWidth="1"/>
    <col min="14" max="14" width="8.140625" customWidth="1"/>
    <col min="15" max="15" width="9.28515625" customWidth="1"/>
    <col min="16" max="16" width="10.140625" customWidth="1"/>
    <col min="17" max="17" width="9.42578125" customWidth="1"/>
  </cols>
  <sheetData>
    <row r="1" spans="1:17" x14ac:dyDescent="0.25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3.25" customHeight="1" x14ac:dyDescent="0.25">
      <c r="A3" s="21" t="s">
        <v>29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4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79.5" customHeight="1" x14ac:dyDescent="0.25">
      <c r="A5" s="2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15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x14ac:dyDescent="0.25">
      <c r="A6" s="6" t="s">
        <v>19</v>
      </c>
      <c r="B6" s="7">
        <v>148342</v>
      </c>
      <c r="C6" s="7">
        <v>261951.44999999998</v>
      </c>
      <c r="D6" s="7">
        <v>143117</v>
      </c>
      <c r="E6" s="7">
        <v>18078096</v>
      </c>
      <c r="F6" s="7">
        <v>19700.616000000002</v>
      </c>
      <c r="G6" s="7">
        <v>25760.406999999999</v>
      </c>
      <c r="H6" s="8">
        <v>76.476338281456506</v>
      </c>
      <c r="I6" s="8">
        <v>95627</v>
      </c>
      <c r="J6" s="8">
        <v>0</v>
      </c>
      <c r="K6" s="8">
        <v>95627</v>
      </c>
      <c r="L6" s="8">
        <v>1766.326</v>
      </c>
      <c r="M6" s="8">
        <v>105.187</v>
      </c>
      <c r="N6" s="8">
        <v>0</v>
      </c>
      <c r="O6" s="8">
        <v>1871.5129999999999</v>
      </c>
      <c r="P6" s="8">
        <v>2604.7109999999998</v>
      </c>
      <c r="Q6" s="8">
        <v>71.851080599728718</v>
      </c>
    </row>
    <row r="7" spans="1:17" x14ac:dyDescent="0.25">
      <c r="A7" s="9" t="s">
        <v>20</v>
      </c>
      <c r="B7" s="10">
        <v>183149</v>
      </c>
      <c r="C7" s="10">
        <v>324875.06</v>
      </c>
      <c r="D7" s="10">
        <v>174544</v>
      </c>
      <c r="E7" s="10">
        <v>23727080</v>
      </c>
      <c r="F7" s="10">
        <v>24957.178</v>
      </c>
      <c r="G7" s="10">
        <v>31416.634999999998</v>
      </c>
      <c r="H7" s="11">
        <v>79.439373440217267</v>
      </c>
      <c r="I7" s="11">
        <v>118076</v>
      </c>
      <c r="J7" s="11">
        <v>8111</v>
      </c>
      <c r="K7" s="11">
        <v>126187</v>
      </c>
      <c r="L7" s="11">
        <v>2244.1579999999999</v>
      </c>
      <c r="M7" s="11">
        <v>145.73400000000001</v>
      </c>
      <c r="N7" s="11">
        <v>9.532</v>
      </c>
      <c r="O7" s="11">
        <v>2399.424</v>
      </c>
      <c r="P7" s="11">
        <v>3176.7069999999999</v>
      </c>
      <c r="Q7" s="11">
        <v>75.531800698018429</v>
      </c>
    </row>
    <row r="8" spans="1:17" x14ac:dyDescent="0.25">
      <c r="A8" s="6" t="s">
        <v>21</v>
      </c>
      <c r="B8" s="7">
        <v>225341</v>
      </c>
      <c r="C8" s="7">
        <v>398809.04999999993</v>
      </c>
      <c r="D8" s="7">
        <v>213509</v>
      </c>
      <c r="E8" s="7">
        <v>31453451</v>
      </c>
      <c r="F8" s="7">
        <v>32315.911</v>
      </c>
      <c r="G8" s="7">
        <v>38414.086000000003</v>
      </c>
      <c r="H8" s="8">
        <v>84.12515919290648</v>
      </c>
      <c r="I8" s="8">
        <v>127073</v>
      </c>
      <c r="J8" s="8">
        <v>11899.743924999999</v>
      </c>
      <c r="K8" s="8">
        <v>138972.74392500002</v>
      </c>
      <c r="L8" s="8">
        <v>2908.2080000000001</v>
      </c>
      <c r="M8" s="8">
        <v>157.23500000000001</v>
      </c>
      <c r="N8" s="8">
        <v>14.86</v>
      </c>
      <c r="O8" s="8">
        <v>3080.3029999999999</v>
      </c>
      <c r="P8" s="8">
        <v>4094.9520000000002</v>
      </c>
      <c r="Q8" s="8">
        <v>75.22195620363803</v>
      </c>
    </row>
    <row r="9" spans="1:17" x14ac:dyDescent="0.25">
      <c r="A9" s="9" t="s">
        <v>22</v>
      </c>
      <c r="B9" s="10">
        <v>287281</v>
      </c>
      <c r="C9" s="10">
        <v>512440.59499999997</v>
      </c>
      <c r="D9" s="10">
        <v>273660</v>
      </c>
      <c r="E9" s="10">
        <v>41600088</v>
      </c>
      <c r="F9" s="10">
        <v>41936.813000000002</v>
      </c>
      <c r="G9" s="10">
        <v>49212.411</v>
      </c>
      <c r="H9" s="11">
        <v>85.215928559159607</v>
      </c>
      <c r="I9" s="11">
        <v>149408</v>
      </c>
      <c r="J9" s="11">
        <v>14204</v>
      </c>
      <c r="K9" s="11">
        <v>163612</v>
      </c>
      <c r="L9" s="11">
        <v>3774.4513459999998</v>
      </c>
      <c r="M9" s="11">
        <v>182.554925</v>
      </c>
      <c r="N9" s="11">
        <v>15.645637000000001</v>
      </c>
      <c r="O9" s="11">
        <v>3972.6519079999998</v>
      </c>
      <c r="P9" s="11">
        <v>5326.489223999999</v>
      </c>
      <c r="Q9" s="11">
        <v>74.582933353175605</v>
      </c>
    </row>
    <row r="10" spans="1:17" x14ac:dyDescent="0.25">
      <c r="A10" s="6" t="s">
        <v>23</v>
      </c>
      <c r="B10" s="7">
        <v>326233</v>
      </c>
      <c r="C10" s="7">
        <v>576628.04463000002</v>
      </c>
      <c r="D10" s="7">
        <v>302623.00100000005</v>
      </c>
      <c r="E10" s="7">
        <v>48955983</v>
      </c>
      <c r="F10" s="7">
        <v>47899.64</v>
      </c>
      <c r="G10" s="7">
        <v>54298.065999999999</v>
      </c>
      <c r="H10" s="8">
        <v>88.216106997254755</v>
      </c>
      <c r="I10" s="8">
        <v>170287.51</v>
      </c>
      <c r="J10" s="8">
        <v>15237.461000000001</v>
      </c>
      <c r="K10" s="8">
        <v>185524.97100000002</v>
      </c>
      <c r="L10" s="8">
        <v>4310.8915099999995</v>
      </c>
      <c r="M10" s="8">
        <v>205.79885999999999</v>
      </c>
      <c r="N10" s="8">
        <v>16.439809999999998</v>
      </c>
      <c r="O10" s="8">
        <v>4533.1301800000001</v>
      </c>
      <c r="P10" s="8">
        <v>5869.2875999999997</v>
      </c>
      <c r="Q10" s="8">
        <v>77.234759802876255</v>
      </c>
    </row>
    <row r="11" spans="1:17" x14ac:dyDescent="0.25">
      <c r="A11" s="9" t="s">
        <v>24</v>
      </c>
      <c r="B11" s="10">
        <v>417419</v>
      </c>
      <c r="C11" s="10">
        <v>740551.19860000012</v>
      </c>
      <c r="D11" s="10">
        <v>382121.826</v>
      </c>
      <c r="E11" s="10">
        <v>60038171</v>
      </c>
      <c r="F11" s="10">
        <v>58688.678999999996</v>
      </c>
      <c r="G11" s="10">
        <v>67643.506999999998</v>
      </c>
      <c r="H11" s="11">
        <v>86.761733095831346</v>
      </c>
      <c r="I11" s="11">
        <v>163256.30495000002</v>
      </c>
      <c r="J11" s="11">
        <v>21163.398409999998</v>
      </c>
      <c r="K11" s="11">
        <v>184419.70335999998</v>
      </c>
      <c r="L11" s="11">
        <v>5281.9677139999994</v>
      </c>
      <c r="M11" s="11">
        <v>195.54945129999999</v>
      </c>
      <c r="N11" s="11">
        <v>21.825904699999995</v>
      </c>
      <c r="O11" s="11">
        <v>5499.3430699999999</v>
      </c>
      <c r="P11" s="11">
        <v>7452.3593386000002</v>
      </c>
      <c r="Q11" s="11">
        <v>73.793315916957738</v>
      </c>
    </row>
    <row r="12" spans="1:17" x14ac:dyDescent="0.25">
      <c r="A12" s="6" t="s">
        <v>28</v>
      </c>
      <c r="B12" s="7">
        <v>475868</v>
      </c>
      <c r="C12" s="7">
        <v>843787.93333333323</v>
      </c>
      <c r="D12" s="7">
        <v>425681.72399999999</v>
      </c>
      <c r="E12" s="7">
        <v>68058886</v>
      </c>
      <c r="F12" s="7">
        <v>65356.184999999998</v>
      </c>
      <c r="G12" s="7">
        <v>75051.152000000002</v>
      </c>
      <c r="H12" s="8">
        <v>87.082187625847496</v>
      </c>
      <c r="I12" s="8">
        <v>242078.62299999999</v>
      </c>
      <c r="J12" s="8">
        <v>17195.88</v>
      </c>
      <c r="K12" s="8">
        <v>259274.49999999997</v>
      </c>
      <c r="L12" s="8">
        <v>5880.5194268000005</v>
      </c>
      <c r="M12" s="8">
        <v>284.03334021899997</v>
      </c>
      <c r="N12" s="8">
        <v>17.485200213000002</v>
      </c>
      <c r="O12" s="8">
        <v>6182.0379672319996</v>
      </c>
      <c r="P12" s="8">
        <v>8291.4056345040026</v>
      </c>
      <c r="Q12" s="8">
        <v>74.559589046107661</v>
      </c>
    </row>
    <row r="13" spans="1:17" x14ac:dyDescent="0.25">
      <c r="A13" s="9" t="s">
        <v>30</v>
      </c>
      <c r="B13" s="10">
        <v>249208</v>
      </c>
      <c r="C13" s="10">
        <v>440751.03</v>
      </c>
      <c r="D13" s="10">
        <v>226023.81299999997</v>
      </c>
      <c r="E13" s="10">
        <v>29336170</v>
      </c>
      <c r="F13" s="10">
        <v>28217.864000000001</v>
      </c>
      <c r="G13" s="10">
        <v>41047.998</v>
      </c>
      <c r="H13" s="11">
        <v>0.68743581599278003</v>
      </c>
      <c r="I13" s="11">
        <v>142981.71165000001</v>
      </c>
      <c r="J13" s="11">
        <v>21697.819789999994</v>
      </c>
      <c r="K13" s="11">
        <v>164679.53143999999</v>
      </c>
      <c r="L13" s="11">
        <v>2539.1586056696601</v>
      </c>
      <c r="M13" s="11">
        <v>157.63319841166</v>
      </c>
      <c r="N13" s="11">
        <v>19.299671782080001</v>
      </c>
      <c r="O13" s="11">
        <v>2716.0914758634003</v>
      </c>
      <c r="P13" s="11">
        <v>4309.6716158549998</v>
      </c>
      <c r="Q13" s="11">
        <v>63.0231655208039</v>
      </c>
    </row>
    <row r="14" spans="1:17" x14ac:dyDescent="0.25">
      <c r="A14" s="6" t="s">
        <v>31</v>
      </c>
      <c r="B14" s="7">
        <v>375712</v>
      </c>
      <c r="C14" s="7">
        <v>645267.64</v>
      </c>
      <c r="D14" s="7">
        <v>327747.84000000003</v>
      </c>
      <c r="E14" s="7">
        <v>46606224</v>
      </c>
      <c r="F14" s="7">
        <v>43931.575000000004</v>
      </c>
      <c r="G14" s="7">
        <v>59736.657999999996</v>
      </c>
      <c r="H14" s="8">
        <v>73.542070264459738</v>
      </c>
      <c r="I14" s="8">
        <v>206198.97120000003</v>
      </c>
      <c r="J14" s="8">
        <v>20504.214250000001</v>
      </c>
      <c r="K14" s="8">
        <v>226703.18545000005</v>
      </c>
      <c r="L14" s="8">
        <v>3953.3650286399989</v>
      </c>
      <c r="M14" s="8">
        <v>236.63389344318998</v>
      </c>
      <c r="N14" s="8">
        <v>19.189513509649995</v>
      </c>
      <c r="O14" s="8">
        <v>4209.1884355928387</v>
      </c>
      <c r="P14" s="8">
        <v>6866.9443873970004</v>
      </c>
      <c r="Q14" s="8">
        <v>61.3</v>
      </c>
    </row>
    <row r="15" spans="1:17" x14ac:dyDescent="0.25">
      <c r="A15" s="9" t="s">
        <v>32</v>
      </c>
      <c r="B15" s="10">
        <v>540620</v>
      </c>
      <c r="C15" s="10">
        <v>931196.55666666676</v>
      </c>
      <c r="D15" s="10">
        <v>469480.777</v>
      </c>
      <c r="E15" s="10">
        <v>76708825</v>
      </c>
      <c r="F15" s="10">
        <v>72307.245999999999</v>
      </c>
      <c r="G15" s="10">
        <v>87895.942999999999</v>
      </c>
      <c r="H15" s="11">
        <v>86.837228184902813</v>
      </c>
      <c r="I15" s="11">
        <v>237793.06099999999</v>
      </c>
      <c r="J15" s="11">
        <v>24282.385119999999</v>
      </c>
      <c r="K15" s="11">
        <v>262075.44612000004</v>
      </c>
      <c r="L15" s="11">
        <v>6506.7414594700012</v>
      </c>
      <c r="M15" s="11">
        <v>280.36405179487974</v>
      </c>
      <c r="N15" s="11">
        <v>22.409168769500003</v>
      </c>
      <c r="O15" s="11">
        <v>6809.51468003438</v>
      </c>
      <c r="P15" s="11">
        <v>9863.7731844370028</v>
      </c>
      <c r="Q15" s="11">
        <v>69</v>
      </c>
    </row>
    <row r="16" spans="1:17" x14ac:dyDescent="0.25">
      <c r="A16" s="6" t="s">
        <v>33</v>
      </c>
      <c r="B16" s="7">
        <v>624386</v>
      </c>
      <c r="C16" s="7">
        <v>1010583.3333333334</v>
      </c>
      <c r="D16" s="7">
        <v>541462.6889999999</v>
      </c>
      <c r="E16" s="7">
        <v>94627784</v>
      </c>
      <c r="F16" s="7">
        <v>89105.525999999998</v>
      </c>
      <c r="G16" s="7">
        <v>102612.126</v>
      </c>
      <c r="H16" s="8">
        <v>86.837071931031332</v>
      </c>
      <c r="I16" s="8">
        <v>277556.77299999999</v>
      </c>
      <c r="J16" s="8">
        <v>28752.676999999996</v>
      </c>
      <c r="K16" s="8">
        <v>306309.44999999995</v>
      </c>
      <c r="L16" s="8">
        <v>8026.35689895</v>
      </c>
      <c r="M16" s="8">
        <v>440.59233799999993</v>
      </c>
      <c r="N16" s="8">
        <v>34.165130000000005</v>
      </c>
      <c r="O16" s="8">
        <f>SUM(L16:N16)</f>
        <v>8501.1143669499997</v>
      </c>
      <c r="P16" s="8">
        <v>11524.85974903</v>
      </c>
      <c r="Q16" s="8">
        <f>O16/P16*100</f>
        <v>73.763278270397208</v>
      </c>
    </row>
    <row r="17" spans="1:17" ht="30" x14ac:dyDescent="0.25">
      <c r="A17" s="1" t="s">
        <v>34</v>
      </c>
      <c r="B17" s="4">
        <f t="shared" ref="B17:Q17" si="0">(B16-B15)/B15</f>
        <v>0.15494432318449189</v>
      </c>
      <c r="C17" s="4">
        <f t="shared" si="0"/>
        <v>8.5252437950201834E-2</v>
      </c>
      <c r="D17" s="4">
        <f t="shared" si="0"/>
        <v>0.15332238406003978</v>
      </c>
      <c r="E17" s="4">
        <f t="shared" si="0"/>
        <v>0.23359709916036389</v>
      </c>
      <c r="F17" s="4">
        <f t="shared" si="0"/>
        <v>0.23231807224410123</v>
      </c>
      <c r="G17" s="4">
        <f t="shared" si="0"/>
        <v>0.16742732938197163</v>
      </c>
      <c r="H17" s="4">
        <f t="shared" si="0"/>
        <v>-1.7993880590944199E-6</v>
      </c>
      <c r="I17" s="4">
        <f>(I16-I15)/I15</f>
        <v>0.16721981639321259</v>
      </c>
      <c r="J17" s="4">
        <f>(J16-J15)/J15</f>
        <v>0.18409607861453756</v>
      </c>
      <c r="K17" s="4">
        <f>(K16-K15)/K15</f>
        <v>0.16878347260256457</v>
      </c>
      <c r="L17" s="4">
        <f t="shared" si="0"/>
        <v>0.23354477028871792</v>
      </c>
      <c r="M17" s="4">
        <f t="shared" si="0"/>
        <v>0.57150082251752654</v>
      </c>
      <c r="N17" s="4">
        <f t="shared" si="0"/>
        <v>0.5246049664501814</v>
      </c>
      <c r="O17" s="4">
        <f t="shared" si="0"/>
        <v>0.24841707029069496</v>
      </c>
      <c r="P17" s="4">
        <f t="shared" si="0"/>
        <v>0.16840275354403411</v>
      </c>
      <c r="Q17" s="4">
        <f t="shared" si="0"/>
        <v>6.9033018411553737E-2</v>
      </c>
    </row>
    <row r="18" spans="1:17" ht="45" x14ac:dyDescent="0.25">
      <c r="A18" s="2" t="s">
        <v>35</v>
      </c>
      <c r="B18" s="3">
        <f t="shared" ref="B18:H18" si="1">(((B16/B6)^(1/10))-1)</f>
        <v>0.15456636833816684</v>
      </c>
      <c r="C18" s="3">
        <f t="shared" si="1"/>
        <v>0.14455095605029289</v>
      </c>
      <c r="D18" s="3">
        <f t="shared" si="1"/>
        <v>0.14231987001212465</v>
      </c>
      <c r="E18" s="3">
        <f t="shared" si="1"/>
        <v>0.18001247364123185</v>
      </c>
      <c r="F18" s="3">
        <f t="shared" si="1"/>
        <v>0.16290030180705717</v>
      </c>
      <c r="G18" s="3">
        <f t="shared" si="1"/>
        <v>0.14821864974091303</v>
      </c>
      <c r="H18" s="3">
        <f t="shared" si="1"/>
        <v>1.2786277960557202E-2</v>
      </c>
      <c r="I18" s="3">
        <f>(((I16/I6)^(1/10))-1)</f>
        <v>0.11244136635441504</v>
      </c>
      <c r="J18" s="3"/>
      <c r="K18" s="3">
        <f>(((K16/K6)^(1/10))-1)</f>
        <v>0.12346096265689321</v>
      </c>
      <c r="L18" s="3">
        <f>(((L16/L6)^(1/10))-1)</f>
        <v>0.1634420612363594</v>
      </c>
      <c r="M18" s="3">
        <f>(((M16/M6)^(1/10))-1)</f>
        <v>0.15400445963145226</v>
      </c>
      <c r="N18" s="3"/>
      <c r="O18" s="3">
        <f>(((O16/O6)^(1/10))-1)</f>
        <v>0.16339796839289056</v>
      </c>
      <c r="P18" s="3">
        <f>(((P16/P6)^(1/10))-1)</f>
        <v>0.16034626988789613</v>
      </c>
      <c r="Q18" s="3">
        <f>(((Q16/Q6)^(1/10))-1)</f>
        <v>2.6299894989876282E-3</v>
      </c>
    </row>
    <row r="19" spans="1:17" ht="15.75" customHeight="1" x14ac:dyDescent="0.25">
      <c r="A19" s="16" t="s">
        <v>27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7.25" customHeight="1" x14ac:dyDescent="0.25">
      <c r="A20" s="12" t="s">
        <v>36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ignoredErrors>
    <ignoredError sqref="O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2023-11-13T05:54:13Z</cp:lastPrinted>
  <dcterms:created xsi:type="dcterms:W3CDTF">2018-10-29T04:00:14Z</dcterms:created>
  <dcterms:modified xsi:type="dcterms:W3CDTF">2025-01-24T09:21:01Z</dcterms:modified>
</cp:coreProperties>
</file>