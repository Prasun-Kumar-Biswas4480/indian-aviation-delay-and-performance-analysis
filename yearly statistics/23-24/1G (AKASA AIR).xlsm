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KASA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G!$A$1:$L$34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<sst xmlns="http://schemas.openxmlformats.org/spreadsheetml/2006/main" count="906" uniqueCount="214">
  <si>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</si>
  <si>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</si>
  <si>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</si>
  <si>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</si>
  <si>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</si>
  <si>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</si>
  <si>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</si>
  <si>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</si>
  <si>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</si>
  <si>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</si>
  <si>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</si>
  <si>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</si>
  <si>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</si>
  <si>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</si>
  <si>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</si>
  <si>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</si>
  <si>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</si>
  <si>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</si>
  <si>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</si>
  <si>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</si>
  <si>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</si>
  <si>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</si>
  <si>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</si>
  <si>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</si>
  <si>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</si>
  <si>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</si>
  <si>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</si>
  <si>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</si>
  <si>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</si>
  <si>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</si>
  <si>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</si>
  <si>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</si>
  <si>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</si>
  <si>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</si>
  <si>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</si>
  <si>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</si>
  <si>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</si>
  <si>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</si>
  <si>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</si>
  <si>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</si>
  <si>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</si>
  <si>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</si>
  <si>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</si>
  <si>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</si>
  <si>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</si>
  <si>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</si>
  <si>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</si>
  <si>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</si>
  <si>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</si>
  <si>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</si>
  <si>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</si>
  <si>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</si>
  <si>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</si>
  <si>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</si>
  <si>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</si>
  <si>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</si>
  <si>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</si>
  <si>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</si>
  <si>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</si>
  <si>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</si>
  <si>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</si>
  <si>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</si>
  <si>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</si>
  <si>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</si>
  <si>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</si>
  <si>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</si>
  <si>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</si>
  <si>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</si>
  <si>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</si>
  <si>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</si>
  <si>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</si>
  <si>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</si>
  <si>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</si>
  <si>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</si>
  <si>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</si>
  <si>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</si>
  <si>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</si>
  <si>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</si>
  <si>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</si>
  <si>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</si>
  <si>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</si>
  <si>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</si>
  <si>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</si>
  <si>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</si>
  <si>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</si>
  <si>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</si>
  <si>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</si>
  <si>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</si>
  <si>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</si>
  <si>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</si>
  <si>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</si>
  <si>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</si>
  <si>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</si>
  <si>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</si>
  <si>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</si>
  <si>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</si>
  <si>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</si>
  <si>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</si>
  <si>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</si>
  <si>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</si>
  <si>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</si>
  <si>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</si>
  <si>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</si>
  <si>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</si>
  <si>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</si>
  <si>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</si>
  <si>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</si>
  <si>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</si>
  <si>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</si>
  <si>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</si>
  <si>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</si>
  <si>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</si>
  <si>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</si>
  <si>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</si>
  <si>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</si>
  <si>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</si>
  <si>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</si>
  <si>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</si>
  <si>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</si>
  <si>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</si>
  <si>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</si>
  <si>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</si>
  <si>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</si>
  <si>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</si>
  <si>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</si>
  <si>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</si>
  <si>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</si>
  <si>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</si>
  <si>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</si>
  <si>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</si>
  <si>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</si>
  <si>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</si>
  <si>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</si>
  <si>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</si>
  <si>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</si>
  <si>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</si>
  <si>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</si>
  <si>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</si>
  <si>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</si>
  <si>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</si>
  <si>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</si>
  <si>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</si>
  <si>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</si>
  <si>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</si>
  <si>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</si>
  <si>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</si>
  <si>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</si>
  <si>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</si>
  <si>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</si>
  <si>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</si>
  <si>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</si>
  <si>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</si>
  <si>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</si>
  <si>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</si>
  <si>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</si>
  <si>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</si>
  <si>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</si>
  <si>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</si>
  <si>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</si>
  <si>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</si>
  <si>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</si>
  <si>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</si>
  <si>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</si>
  <si>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</si>
  <si>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</si>
  <si>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</si>
  <si>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</si>
  <si>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</si>
  <si>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</si>
  <si>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</si>
  <si>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</si>
  <si>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</si>
  <si>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</si>
  <si>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</si>
  <si>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</si>
  <si>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</si>
  <si>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</si>
  <si>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</si>
  <si>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</si>
  <si>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</si>
  <si>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</si>
  <si>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</si>
  <si>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</si>
  <si>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</si>
  <si>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</si>
  <si>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</si>
  <si>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</si>
  <si>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</si>
  <si>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</si>
  <si>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</si>
  <si>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</si>
  <si>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</si>
  <si>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</si>
  <si>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</si>
  <si>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</si>
  <si>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</si>
  <si>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</si>
  <si>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</si>
  <si>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</si>
  <si>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</si>
  <si>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</si>
  <si>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</si>
  <si>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</si>
  <si>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</si>
  <si>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</si>
  <si>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</si>
  <si>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</si>
  <si>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</si>
  <si>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</si>
  <si>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</si>
  <si>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SOURCE : ICAO ATR FORM-D FURNISHED BY  AKASA AIR</t>
  </si>
  <si>
    <t>YEAR-WISE DETAILED FINANCIAL RESULTS OF AKASA AIR</t>
  </si>
  <si>
    <t xml:space="preserve">तालिका 1G (अकासा एयर) </t>
  </si>
  <si>
    <t>TABLE - 1G (AKASA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</si>
</sst>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8" formatCode="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9" fontId="11" fillId="5" borderId="1" xfId="1" applyNumberFormat="1" applyFont="1" applyFill="1" applyBorder="1" applyAlignment="1" applyProtection="1">
      <alignment horizontal="left" wrapText="1"/>
    </xf>
    <xf numFmtId="169" fontId="8" fillId="5" borderId="1" xfId="1" applyNumberFormat="1" applyFont="1" applyFill="1" applyBorder="1" applyAlignment="1" applyProtection="1">
      <alignment horizontal="left" wrapText="1"/>
    </xf>
    <xf numFmtId="169" fontId="9" fillId="5" borderId="1" xfId="1" applyNumberFormat="1" applyFont="1" applyFill="1" applyBorder="1" applyAlignment="1" applyProtection="1">
      <alignment horizontal="left" wrapText="1"/>
    </xf>
    <xf numFmtId="169" fontId="8" fillId="5" borderId="1" xfId="1" applyNumberFormat="1" applyFont="1" applyFill="1" applyBorder="1" applyAlignment="1" applyProtection="1">
      <alignment horizontal="left" vertical="top" wrapText="1"/>
    </xf>
    <xf numFmtId="169" fontId="8" fillId="6" borderId="14" xfId="8" applyNumberFormat="1" applyFont="1" applyFill="1" applyBorder="1" applyAlignment="1" applyProtection="1">
      <alignment horizontal="left" vertical="center"/>
    </xf>
    <xf numFmtId="169" fontId="8" fillId="6" borderId="14" xfId="8" applyNumberFormat="1" applyFont="1" applyFill="1" applyBorder="1" applyAlignment="1" applyProtection="1">
      <alignment vertical="center"/>
    </xf>
    <xf numFmtId="169" fontId="9" fillId="6" borderId="13" xfId="8" applyNumberFormat="1" applyFont="1" applyFill="1" applyBorder="1" applyAlignment="1" applyProtection="1">
      <alignment vertical="center"/>
    </xf>
    <xf numFmtId="169" fontId="8" fillId="6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7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4" xfId="6" applyFont="1" applyFill="1" applyBorder="1" applyAlignment="1" applyProtection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167" fontId="15" fillId="2" borderId="5" xfId="4" applyFont="1" applyFill="1" applyBorder="1" applyAlignment="1">
      <alignment horizontal="center" vertical="center"/>
    </xf>
    <xf numFmtId="168" fontId="16" fillId="2" borderId="5" xfId="4" applyNumberFormat="1" applyFont="1" applyFill="1" applyBorder="1" applyAlignment="1">
      <alignment vertical="center"/>
    </xf>
    <xf numFmtId="167" fontId="16" fillId="2" borderId="5" xfId="4" applyFont="1" applyFill="1" applyBorder="1" applyAlignment="1"/>
    <xf numFmtId="167" fontId="16" fillId="2" borderId="4" xfId="4" applyFont="1" applyFill="1" applyBorder="1" applyAlignment="1" applyProtection="1">
      <alignment horizontal="left" vertical="center" wrapText="1" indent="3"/>
    </xf>
    <xf numFmtId="166" fontId="16" fillId="2" borderId="4" xfId="4" applyNumberFormat="1" applyFont="1" applyFill="1" applyBorder="1"/>
    <xf numFmtId="166" fontId="16" fillId="2" borderId="4" xfId="4" applyNumberFormat="1" applyFont="1" applyFill="1" applyBorder="1" applyAlignment="1">
      <alignment horizontal="right"/>
    </xf>
    <xf numFmtId="167" fontId="16" fillId="2" borderId="1" xfId="4" applyFont="1" applyFill="1" applyBorder="1" applyAlignment="1" applyProtection="1">
      <alignment horizontal="left" vertical="center" wrapText="1" indent="3"/>
    </xf>
    <xf numFmtId="166" fontId="16" fillId="2" borderId="1" xfId="4" applyNumberFormat="1" applyFont="1" applyFill="1" applyBorder="1"/>
    <xf numFmtId="166" fontId="16" fillId="2" borderId="1" xfId="4" applyNumberFormat="1" applyFont="1" applyFill="1" applyBorder="1" applyAlignment="1">
      <alignment horizontal="right"/>
    </xf>
    <xf numFmtId="167" fontId="16" fillId="2" borderId="5" xfId="4" applyFont="1" applyFill="1" applyBorder="1"/>
    <xf numFmtId="167" fontId="15" fillId="2" borderId="1" xfId="4" applyFont="1" applyFill="1" applyBorder="1" applyAlignment="1" applyProtection="1">
      <alignment horizontal="left" vertical="center" wrapText="1" indent="1"/>
    </xf>
    <xf numFmtId="166" fontId="15" fillId="2" borderId="1" xfId="4" applyNumberFormat="1" applyFont="1" applyFill="1" applyBorder="1" applyAlignment="1" applyProtection="1">
      <alignment horizontal="center" vertical="center" wrapText="1"/>
    </xf>
    <xf numFmtId="166" fontId="15" fillId="2" borderId="1" xfId="4" applyNumberFormat="1" applyFont="1" applyFill="1" applyBorder="1" applyAlignment="1" applyProtection="1">
      <alignment horizontal="right" vertical="center" wrapText="1"/>
    </xf>
    <xf numFmtId="167" fontId="15" fillId="2" borderId="1" xfId="4" quotePrefix="1" applyFont="1" applyFill="1" applyBorder="1" applyAlignment="1" applyProtection="1">
      <alignment horizontal="left" vertical="center" wrapText="1" indent="1"/>
    </xf>
    <xf numFmtId="167" fontId="15" fillId="3" borderId="1" xfId="4" applyFont="1" applyFill="1" applyBorder="1" applyAlignment="1" applyProtection="1">
      <alignment horizontal="left" vertical="center" wrapText="1"/>
    </xf>
    <xf numFmtId="166" fontId="15" fillId="3" borderId="1" xfId="4" applyNumberFormat="1" applyFont="1" applyFill="1" applyBorder="1" applyAlignment="1" applyProtection="1">
      <alignment horizontal="center" vertical="center" wrapText="1"/>
    </xf>
    <xf numFmtId="166" fontId="15" fillId="3" borderId="1" xfId="4" applyNumberFormat="1" applyFont="1" applyFill="1" applyBorder="1" applyAlignment="1" applyProtection="1">
      <alignment horizontal="right" vertical="center" wrapText="1"/>
    </xf>
    <xf numFmtId="0" fontId="16" fillId="0" borderId="0" xfId="5" applyFont="1" applyBorder="1"/>
    <xf numFmtId="167" fontId="16" fillId="2" borderId="4" xfId="4" quotePrefix="1" applyFont="1" applyFill="1" applyBorder="1" applyAlignment="1" applyProtection="1">
      <alignment horizontal="left" vertical="center" wrapText="1" indent="1"/>
    </xf>
    <xf numFmtId="167" fontId="16" fillId="2" borderId="1" xfId="4" quotePrefix="1" applyFont="1" applyFill="1" applyBorder="1" applyAlignment="1" applyProtection="1">
      <alignment horizontal="left" vertical="center" wrapText="1" indent="1"/>
    </xf>
    <xf numFmtId="167" fontId="15" fillId="2" borderId="1" xfId="4" applyFont="1" applyFill="1" applyBorder="1" applyAlignment="1" applyProtection="1">
      <alignment horizontal="left" vertical="center" wrapText="1"/>
    </xf>
    <xf numFmtId="166" fontId="16" fillId="2" borderId="1" xfId="4" applyNumberFormat="1" applyFont="1" applyFill="1" applyBorder="1" applyAlignment="1" applyProtection="1">
      <alignment horizontal="center" vertical="center" wrapText="1"/>
    </xf>
    <xf numFmtId="166" fontId="16" fillId="2" borderId="1" xfId="4" applyNumberFormat="1" applyFont="1" applyFill="1" applyBorder="1" applyAlignment="1">
      <alignment horizontal="right" vertical="center"/>
    </xf>
    <xf numFmtId="166" fontId="16" fillId="2" borderId="1" xfId="4" applyNumberFormat="1" applyFont="1" applyFill="1" applyBorder="1" applyAlignment="1">
      <alignment horizontal="center" vertical="center"/>
    </xf>
    <xf numFmtId="166" fontId="16" fillId="4" borderId="1" xfId="4" applyNumberFormat="1" applyFont="1" applyFill="1" applyBorder="1" applyAlignment="1">
      <alignment horizontal="center" vertical="center" wrapText="1"/>
    </xf>
    <xf numFmtId="167" fontId="16" fillId="2" borderId="2" xfId="4" quotePrefix="1" applyFont="1" applyFill="1" applyBorder="1" applyAlignment="1" applyProtection="1">
      <alignment horizontal="left" vertical="center" wrapText="1" indent="1"/>
    </xf>
    <xf numFmtId="166" fontId="16" fillId="2" borderId="2" xfId="4" applyNumberFormat="1" applyFont="1" applyFill="1" applyBorder="1" applyAlignment="1">
      <alignment horizontal="center" vertical="center"/>
    </xf>
    <xf numFmtId="166" fontId="16" fillId="2" borderId="2" xfId="4" applyNumberFormat="1" applyFont="1" applyFill="1" applyBorder="1" applyAlignment="1">
      <alignment horizontal="right" vertical="center"/>
    </xf>
    <xf numFmtId="167" fontId="15" fillId="2" borderId="5" xfId="4" quotePrefix="1" applyFont="1" applyFill="1" applyBorder="1" applyAlignment="1" applyProtection="1">
      <alignment horizontal="left" vertical="center" wrapText="1" indent="1"/>
    </xf>
    <xf numFmtId="167" fontId="15" fillId="2" borderId="6" xfId="4" quotePrefix="1" applyFont="1" applyFill="1" applyBorder="1" applyAlignment="1" applyProtection="1">
      <alignment horizontal="left" vertical="center" wrapText="1" indent="1"/>
    </xf>
    <xf numFmtId="167" fontId="15" fillId="2" borderId="3" xfId="4" quotePrefix="1" applyFont="1" applyFill="1" applyBorder="1" applyAlignment="1" applyProtection="1">
      <alignment horizontal="left" vertical="center" wrapText="1" indent="1"/>
    </xf>
    <xf numFmtId="0" fontId="15" fillId="2" borderId="5" xfId="6" applyFont="1" applyFill="1" applyBorder="1" applyAlignment="1" applyProtection="1">
      <alignment vertical="center" wrapText="1"/>
    </xf>
    <xf numFmtId="0" fontId="15" fillId="2" borderId="6" xfId="6" applyFont="1" applyFill="1" applyBorder="1" applyAlignment="1" applyProtection="1">
      <alignment vertical="center" wrapText="1"/>
    </xf>
    <xf numFmtId="0" fontId="15" fillId="2" borderId="3" xfId="6" applyFont="1" applyFill="1" applyBorder="1" applyAlignment="1" applyProtection="1">
      <alignment vertical="center" wrapText="1"/>
    </xf>
    <xf numFmtId="0" fontId="15" fillId="2" borderId="5" xfId="2" applyFont="1" applyFill="1" applyBorder="1" applyAlignment="1" applyProtection="1">
      <alignment vertical="center"/>
    </xf>
    <xf numFmtId="0" fontId="15" fillId="2" borderId="6" xfId="2" applyFont="1" applyFill="1" applyBorder="1" applyAlignment="1" applyProtection="1">
      <alignment vertical="center"/>
    </xf>
    <xf numFmtId="0" fontId="15" fillId="2" borderId="3" xfId="2" applyFont="1" applyFill="1" applyBorder="1" applyAlignment="1" applyProtection="1">
      <alignment vertical="center"/>
    </xf>
    <xf numFmtId="167" fontId="15" fillId="2" borderId="9" xfId="4" applyFont="1" applyFill="1" applyBorder="1" applyAlignment="1">
      <alignment horizontal="center" vertical="center" wrapText="1"/>
    </xf>
    <xf numFmtId="167" fontId="15" fillId="2" borderId="10" xfId="4" applyFont="1" applyFill="1" applyBorder="1" applyAlignment="1">
      <alignment horizontal="center" vertical="center" wrapText="1"/>
    </xf>
    <xf numFmtId="167" fontId="15" fillId="2" borderId="11" xfId="4" applyFont="1" applyFill="1" applyBorder="1" applyAlignment="1">
      <alignment horizontal="center" vertical="center" wrapText="1"/>
    </xf>
    <xf numFmtId="0" fontId="15" fillId="2" borderId="7" xfId="6" quotePrefix="1" applyFont="1" applyFill="1" applyBorder="1" applyAlignment="1" applyProtection="1">
      <alignment horizontal="center" vertical="center" wrapText="1"/>
    </xf>
    <xf numFmtId="0" fontId="15" fillId="2" borderId="8" xfId="6" quotePrefix="1" applyFont="1" applyFill="1" applyBorder="1" applyAlignment="1" applyProtection="1">
      <alignment horizontal="center" vertical="center" wrapText="1"/>
    </xf>
    <xf numFmtId="0" fontId="15" fillId="2" borderId="12" xfId="6" quotePrefix="1" applyFont="1" applyFill="1" applyBorder="1" applyAlignment="1" applyProtection="1">
      <alignment horizontal="center"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6" xfId="6" applyFont="1" applyFill="1" applyBorder="1" applyAlignment="1" applyProtection="1">
      <alignment horizontal="center" vertical="center" wrapText="1"/>
    </xf>
    <xf numFmtId="0" fontId="15" fillId="2" borderId="3" xfId="6" applyFont="1" applyFill="1" applyBorder="1" applyAlignment="1" applyProtection="1">
      <alignment horizontal="center" vertical="center" wrapText="1"/>
    </xf>
    <xf numFmtId="167" fontId="16" fillId="2" borderId="5" xfId="4" quotePrefix="1" applyFont="1" applyFill="1" applyBorder="1" applyAlignment="1">
      <alignment horizontal="right"/>
    </xf>
    <xf numFmtId="167" fontId="16" fillId="2" borderId="6" xfId="4" quotePrefix="1" applyFont="1" applyFill="1" applyBorder="1" applyAlignment="1">
      <alignment horizontal="right"/>
    </xf>
    <xf numFmtId="167" fontId="16" fillId="2" borderId="3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119</v>
      </c>
      <c r="B1" s="5" t="s">
        <v>119</v>
      </c>
      <c r="C1" s="5" t="s">
        <v>119</v>
      </c>
      <c r="D1" s="5" t="s">
        <v>119</v>
      </c>
      <c r="E1" s="5" t="s">
        <v>119</v>
      </c>
      <c r="F1" s="5" t="s">
        <v>119</v>
      </c>
      <c r="G1" s="5" t="s">
        <v>119</v>
      </c>
      <c r="H1" s="5" t="s">
        <v>119</v>
      </c>
      <c r="I1" s="5" t="s">
        <v>119</v>
      </c>
      <c r="J1" s="5" t="s">
        <v>119</v>
      </c>
      <c r="K1" s="5" t="s">
        <v>119</v>
      </c>
      <c r="L1" s="5" t="s">
        <v>119</v>
      </c>
      <c r="M1" s="5" t="s">
        <v>119</v>
      </c>
      <c r="N1" s="5" t="s">
        <v>119</v>
      </c>
      <c r="O1" s="5" t="s">
        <v>119</v>
      </c>
      <c r="P1" s="5" t="s">
        <v>119</v>
      </c>
      <c r="Q1" s="5" t="s">
        <v>119</v>
      </c>
      <c r="R1" s="5" t="s">
        <v>119</v>
      </c>
      <c r="S1" s="5" t="s">
        <v>119</v>
      </c>
      <c r="T1" s="5" t="s">
        <v>119</v>
      </c>
      <c r="U1" s="5" t="s">
        <v>119</v>
      </c>
      <c r="V1" s="5" t="s">
        <v>119</v>
      </c>
      <c r="W1" s="5" t="s">
        <v>119</v>
      </c>
      <c r="X1" s="5" t="s">
        <v>119</v>
      </c>
      <c r="Y1" s="5" t="s">
        <v>119</v>
      </c>
      <c r="Z1" s="5" t="s">
        <v>119</v>
      </c>
      <c r="AA1" s="5" t="s">
        <v>119</v>
      </c>
      <c r="AB1" s="5" t="s">
        <v>119</v>
      </c>
      <c r="AC1" s="5" t="s">
        <v>119</v>
      </c>
      <c r="AD1" s="5" t="s">
        <v>119</v>
      </c>
      <c r="AE1" s="5" t="s">
        <v>119</v>
      </c>
      <c r="AF1" s="5" t="s">
        <v>119</v>
      </c>
      <c r="AG1" s="5" t="s">
        <v>119</v>
      </c>
      <c r="AH1" s="5" t="s">
        <v>119</v>
      </c>
      <c r="AI1" s="5" t="s">
        <v>119</v>
      </c>
      <c r="AJ1" s="5" t="s">
        <v>119</v>
      </c>
      <c r="AK1" s="5" t="s">
        <v>119</v>
      </c>
      <c r="AQ1" s="1" t="s">
        <v>54</v>
      </c>
      <c r="AR1" t="s">
        <v>44</v>
      </c>
    </row>
    <row r="2" spans="1:57" x14ac:dyDescent="0.2">
      <c r="A2" s="5" t="s">
        <v>119</v>
      </c>
      <c r="B2" s="22" t="e">
        <f>#REF!</f>
        <v>#REF!</v>
      </c>
      <c r="C2" s="5" t="s">
        <v>119</v>
      </c>
      <c r="D2" s="5" t="s">
        <v>119</v>
      </c>
      <c r="E2" s="5" t="s">
        <v>119</v>
      </c>
      <c r="F2" s="5" t="s">
        <v>119</v>
      </c>
      <c r="G2" s="5" t="s">
        <v>119</v>
      </c>
      <c r="H2" s="5" t="s">
        <v>119</v>
      </c>
      <c r="I2" s="5" t="s">
        <v>119</v>
      </c>
      <c r="J2" s="5" t="s">
        <v>119</v>
      </c>
      <c r="K2" s="5" t="s">
        <v>119</v>
      </c>
      <c r="L2" s="5" t="s">
        <v>119</v>
      </c>
      <c r="M2" s="5" t="s">
        <v>119</v>
      </c>
      <c r="N2" s="5" t="s">
        <v>119</v>
      </c>
      <c r="O2" s="5" t="s">
        <v>119</v>
      </c>
      <c r="P2" s="5" t="s">
        <v>119</v>
      </c>
      <c r="Q2" s="5" t="s">
        <v>119</v>
      </c>
      <c r="R2" s="5" t="s">
        <v>119</v>
      </c>
      <c r="S2" s="5" t="s">
        <v>119</v>
      </c>
      <c r="T2" s="5" t="s">
        <v>119</v>
      </c>
      <c r="U2" s="5" t="s">
        <v>119</v>
      </c>
      <c r="V2" s="5" t="s">
        <v>119</v>
      </c>
      <c r="W2" s="5" t="s">
        <v>119</v>
      </c>
      <c r="X2" s="5" t="s">
        <v>119</v>
      </c>
      <c r="Y2" s="5" t="s">
        <v>119</v>
      </c>
      <c r="Z2" s="5" t="s">
        <v>119</v>
      </c>
      <c r="AA2" s="5" t="s">
        <v>119</v>
      </c>
      <c r="AB2" s="5" t="s">
        <v>119</v>
      </c>
      <c r="AC2" s="5" t="s">
        <v>119</v>
      </c>
      <c r="AD2" s="5" t="s">
        <v>119</v>
      </c>
      <c r="AE2" s="5" t="s">
        <v>119</v>
      </c>
      <c r="AF2" s="5" t="s">
        <v>119</v>
      </c>
      <c r="AG2" s="5" t="s">
        <v>119</v>
      </c>
      <c r="AH2" s="5" t="s">
        <v>119</v>
      </c>
      <c r="AI2" s="5" t="s">
        <v>119</v>
      </c>
      <c r="AJ2" s="5" t="s">
        <v>119</v>
      </c>
      <c r="AK2" s="5" t="s">
        <v>119</v>
      </c>
    </row>
    <row r="3" spans="1:57" ht="15.75" customHeight="1" x14ac:dyDescent="0.2">
      <c r="A3" s="1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5" t="s">
        <v>119</v>
      </c>
      <c r="L3" s="5" t="s">
        <v>119</v>
      </c>
      <c r="M3" s="5" t="s">
        <v>119</v>
      </c>
      <c r="N3" s="5" t="s">
        <v>119</v>
      </c>
      <c r="O3" s="5" t="s">
        <v>119</v>
      </c>
      <c r="P3" s="5" t="s">
        <v>119</v>
      </c>
      <c r="Q3" s="5" t="s">
        <v>119</v>
      </c>
      <c r="R3" s="5" t="s">
        <v>119</v>
      </c>
      <c r="S3" s="5" t="s">
        <v>119</v>
      </c>
      <c r="T3" s="18" t="s">
        <v>119</v>
      </c>
      <c r="U3" s="1" t="s">
        <v>54</v>
      </c>
      <c r="V3" s="1" t="s">
        <v>55</v>
      </c>
      <c r="W3" s="1" t="s">
        <v>69</v>
      </c>
      <c r="X3" s="1" t="s">
        <v>70</v>
      </c>
      <c r="Y3" s="1" t="s">
        <v>71</v>
      </c>
      <c r="Z3" s="1" t="s">
        <v>72</v>
      </c>
      <c r="AA3" s="1" t="s">
        <v>56</v>
      </c>
      <c r="AB3" s="1" t="s">
        <v>57</v>
      </c>
      <c r="AC3" s="1" t="s">
        <v>58</v>
      </c>
      <c r="AD3" s="1" t="s">
        <v>73</v>
      </c>
      <c r="AE3" s="1" t="s">
        <v>74</v>
      </c>
      <c r="AF3" s="1" t="s">
        <v>75</v>
      </c>
      <c r="AG3" s="1" t="s">
        <v>76</v>
      </c>
      <c r="AH3" s="1" t="s">
        <v>77</v>
      </c>
      <c r="AI3" s="1" t="s">
        <v>78</v>
      </c>
      <c r="AJ3" s="1" t="s">
        <v>79</v>
      </c>
      <c r="AK3" s="1" t="s">
        <v>80</v>
      </c>
      <c r="AQ3" s="1" t="s">
        <v>55</v>
      </c>
      <c r="AR3" s="1" t="s">
        <v>69</v>
      </c>
      <c r="AS3" s="1" t="s">
        <v>70</v>
      </c>
      <c r="AT3" s="1" t="s">
        <v>71</v>
      </c>
      <c r="AU3" s="1" t="s">
        <v>72</v>
      </c>
      <c r="AV3" s="1" t="s">
        <v>56</v>
      </c>
      <c r="AW3" s="1" t="s">
        <v>57</v>
      </c>
      <c r="AX3" s="1" t="s">
        <v>58</v>
      </c>
      <c r="AY3" s="1" t="s">
        <v>73</v>
      </c>
      <c r="AZ3" s="1" t="s">
        <v>74</v>
      </c>
      <c r="BA3" s="1" t="s">
        <v>76</v>
      </c>
      <c r="BB3" s="1" t="s">
        <v>77</v>
      </c>
      <c r="BC3" s="1" t="s">
        <v>78</v>
      </c>
      <c r="BD3" s="1" t="s">
        <v>80</v>
      </c>
    </row>
    <row r="4" spans="1:57" ht="15.75" customHeight="1" x14ac:dyDescent="0.2">
      <c r="A4" s="2" t="s">
        <v>38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20"/>
    </row>
    <row r="6" spans="1:57" x14ac:dyDescent="0.2">
      <c r="A6" s="2" t="s">
        <v>44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20"/>
    </row>
    <row r="7" spans="1:57" x14ac:dyDescent="0.2">
      <c r="A7" s="2" t="s">
        <v>41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 x14ac:dyDescent="0.2">
      <c r="A8" s="2" t="s">
        <v>42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 x14ac:dyDescent="0.2">
      <c r="A9" s="2" t="s">
        <v>43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 x14ac:dyDescent="0.2">
      <c r="A10" s="2" t="s">
        <v>47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 x14ac:dyDescent="0.2">
      <c r="A11" s="2" t="s">
        <v>49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 x14ac:dyDescent="0.2">
      <c r="A12" s="2" t="s">
        <v>50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 x14ac:dyDescent="0.2">
      <c r="A13" s="2" t="s">
        <v>194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 x14ac:dyDescent="0.2">
      <c r="A14" s="2" t="s">
        <v>53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 x14ac:dyDescent="0.2">
      <c r="A15" s="2" t="s">
        <v>62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 x14ac:dyDescent="0.2">
      <c r="A16" s="2" t="s">
        <v>63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 x14ac:dyDescent="0.2">
      <c r="A17" s="2" t="s">
        <v>64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 x14ac:dyDescent="0.2">
      <c r="A18" s="2" t="s">
        <v>202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 x14ac:dyDescent="0.2">
      <c r="A19" s="2" t="s">
        <v>203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 x14ac:dyDescent="0.2">
      <c r="A20" s="2" t="s">
        <v>67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 x14ac:dyDescent="0.2">
      <c r="T21" s="19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 x14ac:dyDescent="0.2">
      <c r="T28" s="19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 x14ac:dyDescent="0.2">
      <c r="T29" s="19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 x14ac:dyDescent="0.2">
      <c r="T31" s="19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 x14ac:dyDescent="0.2">
      <c r="T32" s="19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 x14ac:dyDescent="0.2">
      <c r="T33" s="19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 x14ac:dyDescent="0.2">
      <c r="T34" s="19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 x14ac:dyDescent="0.2">
      <c r="T35" s="19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 x14ac:dyDescent="0.2">
      <c r="T40" s="19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 x14ac:dyDescent="0.2">
      <c r="T41" s="19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 x14ac:dyDescent="0.2">
      <c r="T49" s="19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65</v>
      </c>
      <c r="B3" t="s">
        <v>84</v>
      </c>
      <c r="C3" t="s">
        <v>94</v>
      </c>
      <c r="V3" s="4" t="s">
        <v>95</v>
      </c>
      <c r="W3" s="1" t="s">
        <v>59</v>
      </c>
      <c r="X3" s="1" t="s">
        <v>81</v>
      </c>
      <c r="Y3" t="s">
        <v>93</v>
      </c>
      <c r="Z3" t="s">
        <v>84</v>
      </c>
      <c r="AA3" t="s">
        <v>94</v>
      </c>
    </row>
    <row r="4" spans="1:27" x14ac:dyDescent="0.2">
      <c r="A4" s="2" t="s">
        <v>49</v>
      </c>
      <c r="B4" s="3">
        <v>2467</v>
      </c>
      <c r="C4" s="3">
        <v>3806.1423290000002</v>
      </c>
      <c r="V4" t="str">
        <f>W4&amp;X4</f>
        <v>AIR ASIAP1</v>
      </c>
      <c r="W4" t="s">
        <v>49</v>
      </c>
      <c r="X4" t="s">
        <v>3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49</v>
      </c>
      <c r="X5" t="s">
        <v>4</v>
      </c>
      <c r="Y5" s="3"/>
      <c r="Z5" s="3"/>
      <c r="AA5" s="3"/>
    </row>
    <row r="6" spans="1:27" x14ac:dyDescent="0.2">
      <c r="A6" s="2" t="s">
        <v>42</v>
      </c>
      <c r="B6" s="3">
        <v>1472</v>
      </c>
      <c r="C6" s="3">
        <v>2956.1</v>
      </c>
      <c r="V6" t="str">
        <f t="shared" si="0"/>
        <v>AIR ASIAP3</v>
      </c>
      <c r="W6" t="s">
        <v>49</v>
      </c>
      <c r="X6" t="s">
        <v>5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64</v>
      </c>
      <c r="B7" s="3">
        <v>61052</v>
      </c>
      <c r="C7" s="3">
        <v>93775.981349000009</v>
      </c>
      <c r="V7" t="str">
        <f t="shared" si="0"/>
        <v>AIR ASIAP4</v>
      </c>
      <c r="W7" t="s">
        <v>49</v>
      </c>
      <c r="X7" t="s">
        <v>6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43</v>
      </c>
      <c r="B8" s="3">
        <v>648</v>
      </c>
      <c r="C8" s="3">
        <v>1392.7165519999999</v>
      </c>
      <c r="V8" t="str">
        <f t="shared" si="0"/>
        <v>AIR ASIAP4.1</v>
      </c>
      <c r="W8" t="s">
        <v>49</v>
      </c>
      <c r="X8" t="s">
        <v>60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51</v>
      </c>
      <c r="B9" s="3">
        <v>1389</v>
      </c>
      <c r="C9" s="3">
        <v>1617.18</v>
      </c>
      <c r="V9" t="str">
        <f t="shared" si="0"/>
        <v>AIR ASIAP4.2</v>
      </c>
      <c r="W9" t="s">
        <v>49</v>
      </c>
      <c r="X9" t="s">
        <v>61</v>
      </c>
      <c r="Y9" s="3"/>
      <c r="Z9" s="3"/>
      <c r="AA9" s="3"/>
    </row>
    <row r="10" spans="1:27" x14ac:dyDescent="0.2">
      <c r="A10" s="2" t="s">
        <v>44</v>
      </c>
      <c r="B10" s="3">
        <v>4140</v>
      </c>
      <c r="C10" s="3">
        <v>6380</v>
      </c>
      <c r="V10" t="str">
        <f t="shared" si="0"/>
        <v>AIR ASIAP5</v>
      </c>
      <c r="W10" t="s">
        <v>49</v>
      </c>
      <c r="X10" t="s">
        <v>7</v>
      </c>
      <c r="Y10" s="3"/>
      <c r="Z10" s="3"/>
      <c r="AA10" s="3"/>
    </row>
    <row r="11" spans="1:27" x14ac:dyDescent="0.2">
      <c r="A11" s="2" t="s">
        <v>38</v>
      </c>
      <c r="B11" s="3">
        <v>25201</v>
      </c>
      <c r="C11" s="3">
        <v>33290.79</v>
      </c>
      <c r="V11" t="str">
        <f t="shared" si="0"/>
        <v>AIR ASIAP6</v>
      </c>
      <c r="W11" t="s">
        <v>49</v>
      </c>
      <c r="X11" t="s">
        <v>8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62</v>
      </c>
      <c r="B12" s="3">
        <v>12112</v>
      </c>
      <c r="C12" s="3">
        <v>34401.086552000001</v>
      </c>
      <c r="V12" t="str">
        <f t="shared" si="0"/>
        <v>AIR INDIAP1</v>
      </c>
      <c r="W12" t="s">
        <v>41</v>
      </c>
      <c r="X12" t="s">
        <v>3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63</v>
      </c>
      <c r="B13" s="3">
        <v>48940</v>
      </c>
      <c r="C13" s="3">
        <v>59374.894797000001</v>
      </c>
      <c r="V13" t="str">
        <f t="shared" si="0"/>
        <v>AIR INDIAP2</v>
      </c>
      <c r="W13" t="s">
        <v>41</v>
      </c>
      <c r="X13" t="s">
        <v>4</v>
      </c>
      <c r="Y13" s="3"/>
      <c r="Z13" s="3"/>
      <c r="AA13" s="3"/>
    </row>
    <row r="14" spans="1:27" x14ac:dyDescent="0.2">
      <c r="A14" s="2" t="s">
        <v>47</v>
      </c>
      <c r="B14" s="3">
        <v>12094</v>
      </c>
      <c r="C14" s="3">
        <v>9401.4900000000016</v>
      </c>
      <c r="V14" t="str">
        <f t="shared" si="0"/>
        <v>AIR INDIAP3</v>
      </c>
      <c r="W14" t="s">
        <v>41</v>
      </c>
      <c r="X14" t="s">
        <v>5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53</v>
      </c>
      <c r="B15" s="3">
        <v>895</v>
      </c>
      <c r="C15" s="3">
        <v>801.87858399999982</v>
      </c>
      <c r="V15" t="str">
        <f t="shared" si="0"/>
        <v>AIR INDIAP4</v>
      </c>
      <c r="W15" t="s">
        <v>41</v>
      </c>
      <c r="X15" t="s">
        <v>6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50</v>
      </c>
      <c r="B16" s="3">
        <v>2721</v>
      </c>
      <c r="C16" s="3">
        <v>4070.3999999999996</v>
      </c>
      <c r="V16" t="str">
        <f t="shared" si="0"/>
        <v>AIR INDIAP4.1</v>
      </c>
      <c r="W16" t="s">
        <v>41</v>
      </c>
      <c r="X16" t="s">
        <v>60</v>
      </c>
      <c r="Y16" s="3"/>
      <c r="Z16" s="3"/>
      <c r="AA16" s="3"/>
    </row>
    <row r="17" spans="1:27" x14ac:dyDescent="0.2">
      <c r="A17" s="2" t="s">
        <v>66</v>
      </c>
      <c r="B17" s="3"/>
      <c r="C17" s="3"/>
      <c r="V17" t="str">
        <f t="shared" si="0"/>
        <v>AIR INDIAP4.2</v>
      </c>
      <c r="W17" t="s">
        <v>41</v>
      </c>
      <c r="X17" t="s">
        <v>61</v>
      </c>
      <c r="Y17" s="3"/>
      <c r="Z17" s="3"/>
      <c r="AA17" s="3"/>
    </row>
    <row r="18" spans="1:27" x14ac:dyDescent="0.2">
      <c r="A18" s="2" t="s">
        <v>202</v>
      </c>
      <c r="B18" s="3"/>
      <c r="C18" s="3"/>
      <c r="V18" t="str">
        <f t="shared" si="0"/>
        <v>AIR INDIAP5</v>
      </c>
      <c r="W18" t="s">
        <v>41</v>
      </c>
      <c r="X18" t="s">
        <v>7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204</v>
      </c>
      <c r="B19" s="3">
        <v>33</v>
      </c>
      <c r="C19" s="3">
        <v>7.0138840000000009</v>
      </c>
      <c r="V19" t="str">
        <f t="shared" si="0"/>
        <v>AIR INDIAP6</v>
      </c>
      <c r="W19" t="s">
        <v>41</v>
      </c>
      <c r="X19" t="s">
        <v>8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42</v>
      </c>
      <c r="X20" t="s">
        <v>3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42</v>
      </c>
      <c r="X21" t="s">
        <v>4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42</v>
      </c>
      <c r="X22" t="s">
        <v>5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42</v>
      </c>
      <c r="X23" t="s">
        <v>6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42</v>
      </c>
      <c r="X24" t="s">
        <v>60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42</v>
      </c>
      <c r="X25" t="s">
        <v>61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42</v>
      </c>
      <c r="X26" t="s">
        <v>7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42</v>
      </c>
      <c r="X27" t="s">
        <v>8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64</v>
      </c>
      <c r="X28" t="s">
        <v>3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64</v>
      </c>
      <c r="X29" t="s">
        <v>4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64</v>
      </c>
      <c r="X30" t="s">
        <v>5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64</v>
      </c>
      <c r="X31" t="s">
        <v>6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64</v>
      </c>
      <c r="X32" t="s">
        <v>60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64</v>
      </c>
      <c r="X33" t="s">
        <v>61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64</v>
      </c>
      <c r="X34" t="s">
        <v>7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64</v>
      </c>
      <c r="X35" t="s">
        <v>8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43</v>
      </c>
      <c r="X36" t="s">
        <v>3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43</v>
      </c>
      <c r="X37" t="s">
        <v>4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43</v>
      </c>
      <c r="X38" t="s">
        <v>5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43</v>
      </c>
      <c r="X39" t="s">
        <v>6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43</v>
      </c>
      <c r="X40" t="s">
        <v>60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43</v>
      </c>
      <c r="X41" t="s">
        <v>61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43</v>
      </c>
      <c r="X42" t="s">
        <v>7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43</v>
      </c>
      <c r="X43" t="s">
        <v>8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51</v>
      </c>
      <c r="X44" t="s">
        <v>3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51</v>
      </c>
      <c r="X45" t="s">
        <v>4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51</v>
      </c>
      <c r="X46" t="s">
        <v>5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51</v>
      </c>
      <c r="X47" t="s">
        <v>6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51</v>
      </c>
      <c r="X48" t="s">
        <v>60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51</v>
      </c>
      <c r="X49" t="s">
        <v>61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51</v>
      </c>
      <c r="X50" t="s">
        <v>7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51</v>
      </c>
      <c r="X51" t="s">
        <v>8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44</v>
      </c>
      <c r="X52" t="s">
        <v>3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44</v>
      </c>
      <c r="X53" t="s">
        <v>4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44</v>
      </c>
      <c r="X54" t="s">
        <v>5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44</v>
      </c>
      <c r="X55" t="s">
        <v>6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44</v>
      </c>
      <c r="X56" t="s">
        <v>60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44</v>
      </c>
      <c r="X57" t="s">
        <v>61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44</v>
      </c>
      <c r="X58" t="s">
        <v>7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44</v>
      </c>
      <c r="X59" t="s">
        <v>8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38</v>
      </c>
      <c r="X60" t="s">
        <v>3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38</v>
      </c>
      <c r="X61" t="s">
        <v>4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38</v>
      </c>
      <c r="X62" t="s">
        <v>5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38</v>
      </c>
      <c r="X63" t="s">
        <v>6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38</v>
      </c>
      <c r="X64" t="s">
        <v>60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38</v>
      </c>
      <c r="X65" t="s">
        <v>61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38</v>
      </c>
      <c r="X66" t="s">
        <v>7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38</v>
      </c>
      <c r="X67" t="s">
        <v>8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62</v>
      </c>
      <c r="X68" t="s">
        <v>3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62</v>
      </c>
      <c r="X69" t="s">
        <v>4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62</v>
      </c>
      <c r="X70" t="s">
        <v>5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62</v>
      </c>
      <c r="X71" t="s">
        <v>6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62</v>
      </c>
      <c r="X72" t="s">
        <v>60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62</v>
      </c>
      <c r="X73" t="s">
        <v>61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62</v>
      </c>
      <c r="X74" t="s">
        <v>7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62</v>
      </c>
      <c r="X75" t="s">
        <v>8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63</v>
      </c>
      <c r="X76" t="s">
        <v>3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63</v>
      </c>
      <c r="X77" t="s">
        <v>4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63</v>
      </c>
      <c r="X78" t="s">
        <v>5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63</v>
      </c>
      <c r="X79" t="s">
        <v>6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63</v>
      </c>
      <c r="X80" t="s">
        <v>60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63</v>
      </c>
      <c r="X81" t="s">
        <v>61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63</v>
      </c>
      <c r="X82" t="s">
        <v>7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63</v>
      </c>
      <c r="X83" t="s">
        <v>8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47</v>
      </c>
      <c r="X84" t="s">
        <v>3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47</v>
      </c>
      <c r="X85" t="s">
        <v>4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47</v>
      </c>
      <c r="X86" t="s">
        <v>5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47</v>
      </c>
      <c r="X87" t="s">
        <v>6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47</v>
      </c>
      <c r="X88" t="s">
        <v>60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47</v>
      </c>
      <c r="X89" t="s">
        <v>61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47</v>
      </c>
      <c r="X90" t="s">
        <v>7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47</v>
      </c>
      <c r="X91" t="s">
        <v>8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53</v>
      </c>
      <c r="X92" t="s">
        <v>3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53</v>
      </c>
      <c r="X93" t="s">
        <v>4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53</v>
      </c>
      <c r="X94" t="s">
        <v>5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53</v>
      </c>
      <c r="X95" t="s">
        <v>6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53</v>
      </c>
      <c r="X96" t="s">
        <v>60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53</v>
      </c>
      <c r="X97" t="s">
        <v>61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53</v>
      </c>
      <c r="X98" t="s">
        <v>7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53</v>
      </c>
      <c r="X99" t="s">
        <v>8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50</v>
      </c>
      <c r="X100" t="s">
        <v>3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50</v>
      </c>
      <c r="X101" t="s">
        <v>4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50</v>
      </c>
      <c r="X102" t="s">
        <v>5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50</v>
      </c>
      <c r="X103" t="s">
        <v>6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50</v>
      </c>
      <c r="X104" t="s">
        <v>60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50</v>
      </c>
      <c r="X105" t="s">
        <v>61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50</v>
      </c>
      <c r="X106" t="s">
        <v>7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50</v>
      </c>
      <c r="X107" t="s">
        <v>8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66</v>
      </c>
      <c r="X108" t="s">
        <v>66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202</v>
      </c>
      <c r="X109" t="s">
        <v>3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202</v>
      </c>
      <c r="X110" t="s">
        <v>4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202</v>
      </c>
      <c r="X111" t="s">
        <v>5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202</v>
      </c>
      <c r="X112" t="s">
        <v>6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202</v>
      </c>
      <c r="X113" t="s">
        <v>60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202</v>
      </c>
      <c r="X114" t="s">
        <v>61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202</v>
      </c>
      <c r="X115" t="s">
        <v>7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202</v>
      </c>
      <c r="X116" t="s">
        <v>8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204</v>
      </c>
      <c r="X117" t="s">
        <v>3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204</v>
      </c>
      <c r="X118" t="s">
        <v>4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204</v>
      </c>
      <c r="X119" t="s">
        <v>5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204</v>
      </c>
      <c r="X120" t="s">
        <v>6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204</v>
      </c>
      <c r="X121" t="s">
        <v>60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204</v>
      </c>
      <c r="X122" t="s">
        <v>61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204</v>
      </c>
      <c r="X123" t="s">
        <v>7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204</v>
      </c>
      <c r="X124" t="s">
        <v>8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121</v>
      </c>
      <c r="D2" s="7" t="s">
        <v>122</v>
      </c>
      <c r="E2" s="7" t="s">
        <v>17</v>
      </c>
      <c r="F2" s="7" t="s">
        <v>123</v>
      </c>
      <c r="G2" s="8" t="s">
        <v>124</v>
      </c>
      <c r="H2" s="8" t="s">
        <v>125</v>
      </c>
      <c r="I2" s="9" t="s">
        <v>126</v>
      </c>
      <c r="J2" s="8" t="s">
        <v>127</v>
      </c>
      <c r="K2" s="8" t="s">
        <v>128</v>
      </c>
      <c r="L2" s="8" t="s">
        <v>129</v>
      </c>
      <c r="M2" s="8" t="s">
        <v>130</v>
      </c>
      <c r="N2" s="8" t="s">
        <v>131</v>
      </c>
      <c r="O2" s="8" t="s">
        <v>132</v>
      </c>
      <c r="P2" s="8" t="s">
        <v>133</v>
      </c>
      <c r="Q2" s="8" t="s">
        <v>134</v>
      </c>
      <c r="R2" s="8" t="s">
        <v>135</v>
      </c>
      <c r="S2" s="10" t="s">
        <v>136</v>
      </c>
      <c r="T2" s="8" t="s">
        <v>137</v>
      </c>
      <c r="U2" s="8" t="s">
        <v>138</v>
      </c>
      <c r="V2" s="7" t="s">
        <v>139</v>
      </c>
      <c r="W2" s="8" t="s">
        <v>140</v>
      </c>
      <c r="X2" s="7" t="s">
        <v>141</v>
      </c>
      <c r="Y2" s="7" t="s">
        <v>142</v>
      </c>
    </row>
    <row r="3" spans="1:25" x14ac:dyDescent="0.2">
      <c r="A3" s="1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15" customFormat="1" x14ac:dyDescent="0.2">
      <c r="A4" s="17" t="s">
        <v>49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50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N34"/>
  <sheetViews>
    <sheetView showGridLines="0" tabSelected="1" view="pageBreakPreview" topLeftCell="B1" zoomScale="85" zoomScaleNormal="75" zoomScaleSheetLayoutView="85" workbookViewId="0">
      <selection activeCell="O17" sqref="O17"/>
    </sheetView>
  </sheetViews>
  <sheetFormatPr defaultColWidth="11" defaultRowHeight="15.75" x14ac:dyDescent="0.25"/>
  <cols>
    <col min="1" max="1" width="6.140625" style="23" hidden="1" customWidth="1"/>
    <col min="2" max="2" width="29.85546875" style="23" customWidth="1"/>
    <col min="3" max="3" width="10" style="23" customWidth="1"/>
    <col min="4" max="7" width="9.7109375" style="23" customWidth="1"/>
    <col min="8" max="8" width="9.85546875" style="23" customWidth="1"/>
    <col min="9" max="10" width="9.7109375" style="23" customWidth="1"/>
    <col min="11" max="11" width="10" style="23" customWidth="1"/>
    <col min="12" max="16384" width="11" style="23"/>
  </cols>
  <sheetData>
    <row r="1" spans="1:14" ht="33" customHeight="1" x14ac:dyDescent="0.25">
      <c r="B1" s="64" t="s">
        <v>212</v>
      </c>
      <c r="C1" s="65"/>
      <c r="D1" s="65"/>
      <c r="E1" s="65"/>
      <c r="F1" s="65"/>
      <c r="G1" s="65"/>
      <c r="H1" s="65"/>
      <c r="I1" s="65"/>
      <c r="J1" s="65"/>
      <c r="K1" s="65"/>
      <c r="L1" s="66"/>
    </row>
    <row r="2" spans="1:14" ht="30.75" customHeight="1" x14ac:dyDescent="0.25">
      <c r="B2" s="67" t="s">
        <v>213</v>
      </c>
      <c r="C2" s="68"/>
      <c r="D2" s="68"/>
      <c r="E2" s="68"/>
      <c r="F2" s="68"/>
      <c r="G2" s="68"/>
      <c r="H2" s="68"/>
      <c r="I2" s="68"/>
      <c r="J2" s="68"/>
      <c r="K2" s="68"/>
      <c r="L2" s="69"/>
    </row>
    <row r="3" spans="1:14" ht="30" customHeight="1" x14ac:dyDescent="0.25">
      <c r="B3" s="70" t="s">
        <v>211</v>
      </c>
      <c r="C3" s="71"/>
      <c r="D3" s="71"/>
      <c r="E3" s="71"/>
      <c r="F3" s="71"/>
      <c r="G3" s="71"/>
      <c r="H3" s="71"/>
      <c r="I3" s="71"/>
      <c r="J3" s="71"/>
      <c r="K3" s="71"/>
      <c r="L3" s="72"/>
    </row>
    <row r="4" spans="1:14" ht="26.25" customHeight="1" x14ac:dyDescent="0.25">
      <c r="B4" s="73" t="s">
        <v>10</v>
      </c>
      <c r="C4" s="74"/>
      <c r="D4" s="74"/>
      <c r="E4" s="74"/>
      <c r="F4" s="74"/>
      <c r="G4" s="74"/>
      <c r="H4" s="74"/>
      <c r="I4" s="74"/>
      <c r="J4" s="74"/>
      <c r="K4" s="74"/>
      <c r="L4" s="75"/>
    </row>
    <row r="5" spans="1:14" ht="24" customHeight="1" x14ac:dyDescent="0.25">
      <c r="A5" s="24" t="s">
        <v>9</v>
      </c>
      <c r="B5" s="25" t="s">
        <v>11</v>
      </c>
      <c r="C5" s="26" t="s">
        <v>2</v>
      </c>
      <c r="D5" s="26" t="s">
        <v>40</v>
      </c>
      <c r="E5" s="26" t="s">
        <v>82</v>
      </c>
      <c r="F5" s="26" t="s">
        <v>198</v>
      </c>
      <c r="G5" s="26" t="s">
        <v>205</v>
      </c>
      <c r="H5" s="26" t="s">
        <v>206</v>
      </c>
      <c r="I5" s="26" t="s">
        <v>207</v>
      </c>
      <c r="J5" s="26" t="s">
        <v>208</v>
      </c>
      <c r="K5" s="26" t="s">
        <v>209</v>
      </c>
      <c r="L5" s="26" t="s">
        <v>209</v>
      </c>
    </row>
    <row r="6" spans="1:14" ht="20.25" customHeight="1" x14ac:dyDescent="0.25">
      <c r="A6" s="27"/>
      <c r="B6" s="58" t="s">
        <v>12</v>
      </c>
      <c r="C6" s="59"/>
      <c r="D6" s="59"/>
      <c r="E6" s="59"/>
      <c r="F6" s="59"/>
      <c r="G6" s="59"/>
      <c r="H6" s="59"/>
      <c r="I6" s="59"/>
      <c r="J6" s="59"/>
      <c r="K6" s="59"/>
      <c r="L6" s="60"/>
    </row>
    <row r="7" spans="1:14" ht="20.25" customHeight="1" x14ac:dyDescent="0.25">
      <c r="A7" s="28">
        <v>1</v>
      </c>
      <c r="B7" s="55" t="s">
        <v>13</v>
      </c>
      <c r="C7" s="56"/>
      <c r="D7" s="56"/>
      <c r="E7" s="56"/>
      <c r="F7" s="56"/>
      <c r="G7" s="56"/>
      <c r="H7" s="56"/>
      <c r="I7" s="56"/>
      <c r="J7" s="56"/>
      <c r="K7" s="56"/>
      <c r="L7" s="57"/>
    </row>
    <row r="8" spans="1:14" ht="20.25" customHeight="1" x14ac:dyDescent="0.25">
      <c r="A8" s="29">
        <v>1.1000000000000001</v>
      </c>
      <c r="B8" s="30" t="s">
        <v>14</v>
      </c>
      <c r="C8" s="31"/>
      <c r="D8" s="31"/>
      <c r="E8" s="31"/>
      <c r="F8" s="31"/>
      <c r="G8" s="32"/>
      <c r="H8" s="32"/>
      <c r="I8" s="32"/>
      <c r="J8" s="32"/>
      <c r="K8" s="32">
        <v>6214.1909999999998</v>
      </c>
      <c r="L8" s="32">
        <v>27062.896000000001</v>
      </c>
    </row>
    <row r="9" spans="1:14" ht="20.25" customHeight="1" x14ac:dyDescent="0.25">
      <c r="A9" s="29">
        <v>1.2</v>
      </c>
      <c r="B9" s="33" t="s">
        <v>15</v>
      </c>
      <c r="C9" s="34"/>
      <c r="D9" s="34"/>
      <c r="E9" s="34"/>
      <c r="F9" s="34"/>
      <c r="G9" s="35"/>
      <c r="H9" s="35"/>
      <c r="I9" s="32"/>
      <c r="J9" s="32"/>
      <c r="K9" s="32">
        <v>66.3</v>
      </c>
      <c r="L9" s="32">
        <v>237.209</v>
      </c>
    </row>
    <row r="10" spans="1:14" ht="20.25" customHeight="1" x14ac:dyDescent="0.25">
      <c r="A10" s="29">
        <v>1.3</v>
      </c>
      <c r="B10" s="33" t="s">
        <v>16</v>
      </c>
      <c r="C10" s="34"/>
      <c r="D10" s="34"/>
      <c r="E10" s="34"/>
      <c r="F10" s="34"/>
      <c r="G10" s="35"/>
      <c r="H10" s="35"/>
      <c r="I10" s="35"/>
      <c r="J10" s="35"/>
      <c r="K10" s="35">
        <v>330.221</v>
      </c>
      <c r="L10" s="35">
        <v>1286.192</v>
      </c>
    </row>
    <row r="11" spans="1:14" ht="20.25" customHeight="1" x14ac:dyDescent="0.25">
      <c r="A11" s="29">
        <v>1.4</v>
      </c>
      <c r="B11" s="33" t="s">
        <v>17</v>
      </c>
      <c r="C11" s="34"/>
      <c r="D11" s="34"/>
      <c r="E11" s="34"/>
      <c r="F11" s="34"/>
      <c r="G11" s="35"/>
      <c r="H11" s="35"/>
      <c r="I11" s="35"/>
      <c r="J11" s="35"/>
      <c r="K11" s="35">
        <v>0</v>
      </c>
      <c r="L11" s="35">
        <v>53.444000000000003</v>
      </c>
    </row>
    <row r="12" spans="1:14" ht="20.25" customHeight="1" x14ac:dyDescent="0.25">
      <c r="A12" s="29">
        <v>1.5</v>
      </c>
      <c r="B12" s="33" t="s">
        <v>18</v>
      </c>
      <c r="C12" s="34"/>
      <c r="D12" s="34"/>
      <c r="E12" s="34"/>
      <c r="F12" s="34"/>
      <c r="G12" s="35"/>
      <c r="H12" s="35"/>
      <c r="I12" s="35"/>
      <c r="J12" s="35"/>
      <c r="K12" s="35">
        <v>0</v>
      </c>
      <c r="L12" s="35">
        <v>0</v>
      </c>
    </row>
    <row r="13" spans="1:14" ht="20.25" customHeight="1" x14ac:dyDescent="0.25">
      <c r="A13" s="36"/>
      <c r="B13" s="37" t="s">
        <v>19</v>
      </c>
      <c r="C13" s="38"/>
      <c r="D13" s="39"/>
      <c r="E13" s="39"/>
      <c r="F13" s="39"/>
      <c r="G13" s="39"/>
      <c r="H13" s="39"/>
      <c r="I13" s="39"/>
      <c r="J13" s="39"/>
      <c r="K13" s="39">
        <v>6610.7119999999995</v>
      </c>
      <c r="L13" s="39">
        <v>28639.741999999998</v>
      </c>
    </row>
    <row r="14" spans="1:14" ht="20.25" customHeight="1" x14ac:dyDescent="0.25">
      <c r="A14" s="28">
        <v>2</v>
      </c>
      <c r="B14" s="40" t="s">
        <v>20</v>
      </c>
      <c r="C14" s="34"/>
      <c r="D14" s="34"/>
      <c r="E14" s="34"/>
      <c r="F14" s="34"/>
      <c r="G14" s="35"/>
      <c r="H14" s="35"/>
      <c r="I14" s="35"/>
      <c r="J14" s="35"/>
      <c r="K14" s="35">
        <v>6.2990000000000004</v>
      </c>
      <c r="L14" s="35">
        <v>48.529000000000003</v>
      </c>
    </row>
    <row r="15" spans="1:14" ht="20.25" customHeight="1" x14ac:dyDescent="0.25">
      <c r="A15" s="28">
        <v>3</v>
      </c>
      <c r="B15" s="37" t="s">
        <v>21</v>
      </c>
      <c r="C15" s="34"/>
      <c r="D15" s="34"/>
      <c r="E15" s="34"/>
      <c r="F15" s="34"/>
      <c r="G15" s="35"/>
      <c r="H15" s="35"/>
      <c r="I15" s="35"/>
      <c r="J15" s="35"/>
      <c r="K15" s="35">
        <v>1161.47</v>
      </c>
      <c r="L15" s="35">
        <v>2755.5369999999998</v>
      </c>
    </row>
    <row r="16" spans="1:14" ht="20.25" customHeight="1" x14ac:dyDescent="0.25">
      <c r="A16" s="28">
        <v>4</v>
      </c>
      <c r="B16" s="41" t="s">
        <v>1</v>
      </c>
      <c r="C16" s="42"/>
      <c r="D16" s="43"/>
      <c r="E16" s="43"/>
      <c r="F16" s="43"/>
      <c r="G16" s="43"/>
      <c r="H16" s="43"/>
      <c r="I16" s="43"/>
      <c r="J16" s="43"/>
      <c r="K16" s="43">
        <v>7778.4809999999998</v>
      </c>
      <c r="L16" s="43">
        <v>31443.808000000001</v>
      </c>
      <c r="M16" s="44"/>
      <c r="N16" s="44"/>
    </row>
    <row r="17" spans="1:12" ht="20.25" customHeight="1" x14ac:dyDescent="0.25">
      <c r="A17" s="27" t="s">
        <v>22</v>
      </c>
      <c r="B17" s="58" t="s">
        <v>23</v>
      </c>
      <c r="C17" s="59"/>
      <c r="D17" s="59"/>
      <c r="E17" s="59"/>
      <c r="F17" s="59"/>
      <c r="G17" s="59"/>
      <c r="H17" s="59"/>
      <c r="I17" s="59"/>
      <c r="J17" s="59"/>
      <c r="K17" s="59"/>
      <c r="L17" s="60"/>
    </row>
    <row r="18" spans="1:12" ht="20.25" customHeight="1" x14ac:dyDescent="0.25">
      <c r="A18" s="28">
        <v>5</v>
      </c>
      <c r="B18" s="45" t="s">
        <v>24</v>
      </c>
      <c r="C18" s="31"/>
      <c r="D18" s="32"/>
      <c r="E18" s="32"/>
      <c r="F18" s="32"/>
      <c r="G18" s="32"/>
      <c r="H18" s="32"/>
      <c r="I18" s="32"/>
      <c r="J18" s="32"/>
      <c r="K18" s="32">
        <v>5535.777</v>
      </c>
      <c r="L18" s="32">
        <v>20045.184000000001</v>
      </c>
    </row>
    <row r="19" spans="1:12" ht="28.5" customHeight="1" x14ac:dyDescent="0.25">
      <c r="A19" s="28">
        <v>6</v>
      </c>
      <c r="B19" s="46" t="s">
        <v>25</v>
      </c>
      <c r="C19" s="34"/>
      <c r="D19" s="35"/>
      <c r="E19" s="35"/>
      <c r="F19" s="35"/>
      <c r="G19" s="35"/>
      <c r="H19" s="35"/>
      <c r="I19" s="35"/>
      <c r="J19" s="35"/>
      <c r="K19" s="35">
        <v>2735.2179999999998</v>
      </c>
      <c r="L19" s="35">
        <v>9151.2659999999996</v>
      </c>
    </row>
    <row r="20" spans="1:12" ht="31.5" customHeight="1" x14ac:dyDescent="0.25">
      <c r="A20" s="28">
        <v>7</v>
      </c>
      <c r="B20" s="46" t="s">
        <v>26</v>
      </c>
      <c r="C20" s="34"/>
      <c r="D20" s="35"/>
      <c r="E20" s="35"/>
      <c r="F20" s="35"/>
      <c r="G20" s="35"/>
      <c r="H20" s="35"/>
      <c r="I20" s="35"/>
      <c r="J20" s="35"/>
      <c r="K20" s="35">
        <v>1275.981</v>
      </c>
      <c r="L20" s="35">
        <v>3598.9949999999999</v>
      </c>
    </row>
    <row r="21" spans="1:12" ht="20.25" customHeight="1" x14ac:dyDescent="0.25">
      <c r="A21" s="28">
        <v>8</v>
      </c>
      <c r="B21" s="46" t="s">
        <v>160</v>
      </c>
      <c r="C21" s="34"/>
      <c r="D21" s="35"/>
      <c r="E21" s="35"/>
      <c r="F21" s="35"/>
      <c r="G21" s="35"/>
      <c r="H21" s="35"/>
      <c r="I21" s="35"/>
      <c r="J21" s="35"/>
      <c r="K21" s="35">
        <v>796.45699999999999</v>
      </c>
      <c r="L21" s="35">
        <v>2842.4110000000001</v>
      </c>
    </row>
    <row r="22" spans="1:12" ht="20.25" customHeight="1" x14ac:dyDescent="0.25">
      <c r="A22" s="28">
        <v>9</v>
      </c>
      <c r="B22" s="46" t="s">
        <v>27</v>
      </c>
      <c r="C22" s="34"/>
      <c r="D22" s="35"/>
      <c r="E22" s="35"/>
      <c r="F22" s="35"/>
      <c r="G22" s="35"/>
      <c r="H22" s="35"/>
      <c r="I22" s="35"/>
      <c r="J22" s="35"/>
      <c r="K22" s="35">
        <v>478.774</v>
      </c>
      <c r="L22" s="35">
        <v>1640.038</v>
      </c>
    </row>
    <row r="23" spans="1:12" ht="20.25" customHeight="1" x14ac:dyDescent="0.25">
      <c r="A23" s="28">
        <v>10</v>
      </c>
      <c r="B23" s="46" t="s">
        <v>28</v>
      </c>
      <c r="C23" s="34"/>
      <c r="D23" s="35"/>
      <c r="E23" s="35"/>
      <c r="F23" s="35"/>
      <c r="G23" s="35"/>
      <c r="H23" s="35"/>
      <c r="I23" s="35"/>
      <c r="J23" s="35"/>
      <c r="K23" s="35">
        <v>410.01400000000001</v>
      </c>
      <c r="L23" s="35">
        <v>1302.3040000000001</v>
      </c>
    </row>
    <row r="24" spans="1:12" ht="29.25" customHeight="1" x14ac:dyDescent="0.25">
      <c r="A24" s="28">
        <v>11</v>
      </c>
      <c r="B24" s="46" t="s">
        <v>29</v>
      </c>
      <c r="C24" s="34"/>
      <c r="D24" s="35"/>
      <c r="E24" s="35"/>
      <c r="F24" s="35"/>
      <c r="G24" s="35"/>
      <c r="H24" s="35"/>
      <c r="I24" s="35"/>
      <c r="J24" s="35"/>
      <c r="K24" s="35">
        <v>503.4</v>
      </c>
      <c r="L24" s="35">
        <v>1089.0050000000001</v>
      </c>
    </row>
    <row r="25" spans="1:12" ht="20.25" customHeight="1" x14ac:dyDescent="0.25">
      <c r="A25" s="28">
        <v>12</v>
      </c>
      <c r="B25" s="46" t="s">
        <v>30</v>
      </c>
      <c r="C25" s="34"/>
      <c r="D25" s="35"/>
      <c r="E25" s="35"/>
      <c r="F25" s="35"/>
      <c r="G25" s="35"/>
      <c r="H25" s="35"/>
      <c r="I25" s="35"/>
      <c r="J25" s="35"/>
      <c r="K25" s="35">
        <v>2071.2570000000001</v>
      </c>
      <c r="L25" s="35">
        <v>4409.2870000000003</v>
      </c>
    </row>
    <row r="26" spans="1:12" ht="20.25" customHeight="1" x14ac:dyDescent="0.25">
      <c r="A26" s="28">
        <v>13</v>
      </c>
      <c r="B26" s="46" t="s">
        <v>31</v>
      </c>
      <c r="C26" s="34"/>
      <c r="D26" s="35"/>
      <c r="E26" s="35"/>
      <c r="F26" s="35"/>
      <c r="G26" s="35"/>
      <c r="H26" s="35"/>
      <c r="I26" s="35"/>
      <c r="J26" s="35"/>
      <c r="K26" s="35">
        <v>0</v>
      </c>
      <c r="L26" s="35">
        <v>0</v>
      </c>
    </row>
    <row r="27" spans="1:12" ht="20.25" customHeight="1" x14ac:dyDescent="0.25">
      <c r="A27" s="28">
        <v>14</v>
      </c>
      <c r="B27" s="41" t="s">
        <v>0</v>
      </c>
      <c r="C27" s="42"/>
      <c r="D27" s="43"/>
      <c r="E27" s="43"/>
      <c r="F27" s="43"/>
      <c r="G27" s="43"/>
      <c r="H27" s="43"/>
      <c r="I27" s="43"/>
      <c r="J27" s="43"/>
      <c r="K27" s="43">
        <v>13806.879000000001</v>
      </c>
      <c r="L27" s="43">
        <v>44078.49</v>
      </c>
    </row>
    <row r="28" spans="1:12" ht="20.25" customHeight="1" x14ac:dyDescent="0.25">
      <c r="A28" s="28">
        <v>15</v>
      </c>
      <c r="B28" s="47" t="s">
        <v>32</v>
      </c>
      <c r="C28" s="48"/>
      <c r="D28" s="49"/>
      <c r="E28" s="49"/>
      <c r="F28" s="49"/>
      <c r="G28" s="49"/>
      <c r="H28" s="49"/>
      <c r="I28" s="49"/>
      <c r="J28" s="49"/>
      <c r="K28" s="49">
        <v>-6028.3969999999999</v>
      </c>
      <c r="L28" s="49">
        <v>-12634.683000000001</v>
      </c>
    </row>
    <row r="29" spans="1:12" ht="32.25" customHeight="1" x14ac:dyDescent="0.25">
      <c r="A29" s="28">
        <v>21</v>
      </c>
      <c r="B29" s="47" t="s">
        <v>33</v>
      </c>
      <c r="C29" s="50"/>
      <c r="D29" s="49"/>
      <c r="E29" s="49"/>
      <c r="F29" s="49"/>
      <c r="G29" s="49"/>
      <c r="H29" s="49"/>
      <c r="I29" s="49"/>
      <c r="J29" s="49"/>
      <c r="K29" s="49">
        <v>-1411.8150000000001</v>
      </c>
      <c r="L29" s="49">
        <v>-4061.1709999999998</v>
      </c>
    </row>
    <row r="30" spans="1:12" ht="35.25" customHeight="1" x14ac:dyDescent="0.25">
      <c r="A30" s="28">
        <v>22</v>
      </c>
      <c r="B30" s="47" t="s">
        <v>37</v>
      </c>
      <c r="C30" s="51"/>
      <c r="D30" s="49"/>
      <c r="E30" s="49"/>
      <c r="F30" s="49"/>
      <c r="G30" s="49"/>
      <c r="H30" s="49"/>
      <c r="I30" s="49"/>
      <c r="J30" s="49"/>
      <c r="K30" s="49">
        <v>-7440.2120000000004</v>
      </c>
      <c r="L30" s="49">
        <v>-16695.853999999999</v>
      </c>
    </row>
    <row r="31" spans="1:12" ht="20.25" customHeight="1" x14ac:dyDescent="0.25">
      <c r="A31" s="28">
        <v>23</v>
      </c>
      <c r="B31" s="46" t="s">
        <v>34</v>
      </c>
      <c r="C31" s="50"/>
      <c r="D31" s="49"/>
      <c r="E31" s="49"/>
      <c r="F31" s="49"/>
      <c r="G31" s="49"/>
      <c r="H31" s="49"/>
      <c r="I31" s="49"/>
      <c r="J31" s="49"/>
      <c r="K31" s="49">
        <v>-1.097</v>
      </c>
      <c r="L31" s="49">
        <v>0</v>
      </c>
    </row>
    <row r="32" spans="1:12" ht="30.75" customHeight="1" x14ac:dyDescent="0.25">
      <c r="A32" s="28">
        <v>24</v>
      </c>
      <c r="B32" s="46" t="s">
        <v>35</v>
      </c>
      <c r="C32" s="50"/>
      <c r="D32" s="49"/>
      <c r="E32" s="49"/>
      <c r="F32" s="49"/>
      <c r="G32" s="49"/>
      <c r="H32" s="49"/>
      <c r="I32" s="49"/>
      <c r="J32" s="49"/>
      <c r="K32" s="49">
        <v>-7441.3090000000002</v>
      </c>
      <c r="L32" s="49">
        <v>-16695.853999999999</v>
      </c>
    </row>
    <row r="33" spans="1:12" ht="30.75" customHeight="1" x14ac:dyDescent="0.25">
      <c r="A33" s="28">
        <v>26</v>
      </c>
      <c r="B33" s="52" t="s">
        <v>36</v>
      </c>
      <c r="C33" s="53"/>
      <c r="D33" s="54"/>
      <c r="E33" s="54"/>
      <c r="F33" s="54"/>
      <c r="G33" s="54"/>
      <c r="H33" s="54"/>
      <c r="I33" s="54"/>
      <c r="J33" s="54"/>
      <c r="K33" s="54">
        <v>-7441.3090000000002</v>
      </c>
      <c r="L33" s="54">
        <v>-16695.853999999999</v>
      </c>
    </row>
    <row r="34" spans="1:12" ht="24.95" customHeight="1" x14ac:dyDescent="0.25">
      <c r="B34" s="61" t="s">
        <v>210</v>
      </c>
      <c r="C34" s="62"/>
      <c r="D34" s="62"/>
      <c r="E34" s="62"/>
      <c r="F34" s="62"/>
      <c r="G34" s="62"/>
      <c r="H34" s="62"/>
      <c r="I34" s="62"/>
      <c r="J34" s="62"/>
      <c r="K34" s="62"/>
      <c r="L34" s="63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5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2025-04-03T11:16:40Z</dcterms:modified>
</cp:coreProperties>
</file>