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'C'!$A$1:$N$13</definedName>
    <definedName name="Print_Area_MI" localSheetId="3">'C'!$A$9:$N$14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11" i="3" l="1"/>
  <c r="K11" i="3"/>
  <c r="C13" i="3" l="1"/>
  <c r="D13" i="3"/>
  <c r="E13" i="3"/>
  <c r="I13" i="3"/>
  <c r="J13" i="3"/>
  <c r="K13" i="3"/>
  <c r="L13" i="3"/>
  <c r="M13" i="3"/>
  <c r="N13" i="3"/>
  <c r="B13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<sst xmlns="http://schemas.openxmlformats.org/spreadsheetml/2006/main" count="891" uniqueCount="199">
  <si>
    <t xml:space="preserve"> </t>
  </si>
  <si>
    <t>TOTAL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</si>
  <si>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</si>
  <si>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</si>
  <si>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</si>
  <si>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</si>
  <si>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</si>
  <si>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</si>
  <si>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</si>
  <si>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</si>
  <si>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</si>
  <si>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</si>
  <si>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</si>
  <si>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</si>
  <si>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</si>
  <si>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</si>
  <si>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</si>
  <si>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</si>
  <si>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</si>
  <si>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</si>
  <si>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</si>
  <si>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</si>
  <si>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</si>
  <si>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</si>
  <si>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</si>
  <si>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</si>
  <si>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</si>
  <si>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</si>
  <si>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</si>
  <si>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</si>
  <si>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</si>
  <si>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</si>
  <si>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</si>
  <si>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</si>
  <si>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</si>
  <si>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</si>
  <si>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</si>
  <si>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</si>
  <si>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</si>
  <si>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</si>
  <si>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</si>
  <si>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</si>
  <si>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</si>
  <si>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</si>
  <si>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</si>
  <si>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</si>
  <si>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</si>
  <si>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</si>
  <si>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</si>
  <si>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</si>
  <si>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</si>
  <si>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</si>
  <si>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</si>
  <si>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</si>
  <si>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</si>
  <si>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</si>
  <si>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</si>
  <si>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</si>
  <si>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</si>
  <si>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</si>
  <si>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</si>
  <si>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</si>
  <si>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</si>
  <si>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</si>
  <si>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</si>
  <si>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</si>
  <si>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</si>
  <si>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</si>
  <si>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</si>
  <si>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</si>
  <si>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</si>
  <si>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</si>
  <si>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</si>
  <si>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</si>
  <si>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</si>
  <si>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</si>
  <si>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</si>
  <si>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</si>
  <si>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</si>
  <si>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</si>
  <si>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</si>
  <si>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</si>
  <si>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</si>
  <si>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</si>
  <si>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</si>
  <si>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</si>
  <si>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</si>
  <si>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</si>
  <si>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</si>
  <si>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</si>
  <si>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</si>
  <si>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</si>
  <si>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</si>
  <si>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</si>
  <si>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</si>
  <si>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</si>
  <si>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</si>
  <si>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</si>
  <si>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</si>
  <si>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</si>
  <si>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</si>
  <si>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</si>
  <si>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</si>
  <si>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</si>
  <si>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</si>
  <si>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</si>
  <si>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</si>
  <si>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</si>
  <si>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</si>
  <si>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</si>
  <si>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</si>
  <si>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</si>
  <si>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</si>
  <si>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</si>
  <si>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</si>
  <si>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</si>
  <si>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</si>
  <si>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</si>
  <si>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</si>
  <si>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</si>
  <si>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</si>
  <si>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</si>
  <si>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</si>
  <si>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</si>
  <si>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</si>
  <si>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</si>
  <si>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</si>
  <si>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</si>
  <si>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</si>
  <si>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</si>
  <si>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</si>
  <si>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</si>
  <si>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</si>
  <si>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</si>
  <si>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</si>
  <si>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</si>
  <si>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</si>
  <si>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</si>
  <si>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</si>
  <si>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</si>
  <si>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</si>
  <si>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</si>
  <si>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</si>
  <si>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</si>
  <si>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</si>
  <si>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</si>
  <si>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</si>
  <si>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</si>
  <si>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</si>
  <si>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</si>
  <si>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</si>
  <si>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</si>
  <si>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</si>
  <si>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</si>
  <si>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</si>
  <si>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</si>
  <si>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</si>
  <si>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</si>
  <si>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</si>
  <si>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</si>
  <si>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</si>
  <si>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</si>
  <si>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</si>
  <si>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</si>
  <si>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</si>
  <si>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</si>
  <si>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</si>
  <si>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</si>
  <si>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</si>
  <si>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</si>
  <si>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</si>
  <si>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</si>
  <si>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</si>
  <si>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</si>
  <si>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</si>
  <si>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</si>
  <si>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</si>
  <si>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</si>
  <si>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</si>
  <si>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</si>
  <si>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</si>
  <si>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</si>
  <si>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</si>
  <si>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</si>
  <si>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</si>
  <si>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</si>
  <si>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</si>
  <si>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</si>
  <si>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Boeing 737-800</t>
  </si>
  <si>
    <t>TYPE OF AIRCRAFT WISE FLEET STATISTICS OF SPICEJET DURING 2023-24</t>
  </si>
  <si>
    <t>Boeing 737-700</t>
  </si>
  <si>
    <t>Boeing 737-900</t>
  </si>
  <si>
    <t>Boeing 737-Max8</t>
  </si>
  <si>
    <t>Boeing 737-700F</t>
  </si>
  <si>
    <t>Q400</t>
  </si>
  <si>
    <t>78/90</t>
  </si>
  <si>
    <t xml:space="preserve">TOTAL </t>
  </si>
  <si>
    <t xml:space="preserve">तालिका 1C (स्पाइसजेट) </t>
  </si>
  <si>
    <t>TABLE - 1C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</si>
</sst>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9" xfId="7" applyNumberFormat="1" applyFont="1" applyFill="1" applyBorder="1" applyAlignment="1" applyProtection="1">
      <alignment horizontal="left" vertical="center"/>
    </xf>
    <xf numFmtId="169" fontId="8" fillId="5" borderId="9" xfId="7" applyNumberFormat="1" applyFont="1" applyFill="1" applyBorder="1" applyAlignment="1" applyProtection="1">
      <alignment vertical="center"/>
    </xf>
    <xf numFmtId="169" fontId="9" fillId="5" borderId="8" xfId="7" applyNumberFormat="1" applyFont="1" applyFill="1" applyBorder="1" applyAlignment="1" applyProtection="1">
      <alignment vertical="center"/>
    </xf>
    <xf numFmtId="169" fontId="8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7" fillId="3" borderId="1" xfId="8" applyFont="1" applyFill="1" applyBorder="1" applyAlignment="1">
      <alignment wrapText="1"/>
    </xf>
    <xf numFmtId="3" fontId="16" fillId="3" borderId="1" xfId="3" applyNumberFormat="1" applyFont="1" applyFill="1" applyBorder="1" applyAlignment="1" applyProtection="1">
      <alignment horizontal="right"/>
    </xf>
    <xf numFmtId="3" fontId="16" fillId="3" borderId="1" xfId="1" quotePrefix="1" applyNumberFormat="1" applyFont="1" applyFill="1" applyBorder="1" applyAlignment="1" applyProtection="1">
      <alignment horizontal="right"/>
    </xf>
    <xf numFmtId="165" fontId="16" fillId="3" borderId="1" xfId="1" applyNumberFormat="1" applyFont="1" applyFill="1" applyBorder="1" applyAlignment="1" applyProtection="1">
      <alignment horizontal="right"/>
    </xf>
    <xf numFmtId="166" fontId="17" fillId="3" borderId="1" xfId="8" quotePrefix="1" applyNumberFormat="1" applyFont="1" applyFill="1" applyBorder="1" applyAlignment="1">
      <alignment horizontal="right"/>
    </xf>
    <xf numFmtId="3" fontId="16" fillId="3" borderId="1" xfId="1" applyNumberFormat="1" applyFont="1" applyFill="1" applyBorder="1" applyAlignment="1" applyProtection="1">
      <alignment horizontal="right"/>
    </xf>
    <xf numFmtId="3" fontId="17" fillId="3" borderId="1" xfId="8" applyNumberFormat="1" applyFont="1" applyFill="1" applyBorder="1" applyAlignment="1">
      <alignment horizontal="right"/>
    </xf>
    <xf numFmtId="3" fontId="18" fillId="3" borderId="1" xfId="3" applyNumberFormat="1" applyFont="1" applyFill="1" applyBorder="1" applyAlignment="1" applyProtection="1">
      <alignment horizontal="right"/>
    </xf>
    <xf numFmtId="3" fontId="17" fillId="3" borderId="1" xfId="8" quotePrefix="1" applyNumberFormat="1" applyFont="1" applyFill="1" applyBorder="1" applyAlignment="1">
      <alignment horizontal="right"/>
    </xf>
    <xf numFmtId="165" fontId="17" fillId="3" borderId="1" xfId="8" applyNumberFormat="1" applyFont="1" applyFill="1" applyBorder="1" applyAlignment="1">
      <alignment horizontal="right"/>
    </xf>
    <xf numFmtId="166" fontId="17" fillId="3" borderId="1" xfId="8" applyNumberFormat="1" applyFont="1" applyFill="1" applyBorder="1" applyAlignment="1">
      <alignment horizontal="right"/>
    </xf>
    <xf numFmtId="164" fontId="19" fillId="3" borderId="7" xfId="0" applyNumberFormat="1" applyFont="1" applyFill="1" applyBorder="1" applyAlignment="1" applyProtection="1">
      <alignment horizontal="left"/>
    </xf>
    <xf numFmtId="3" fontId="19" fillId="3" borderId="7" xfId="0" applyNumberFormat="1" applyFont="1" applyFill="1" applyBorder="1" applyAlignment="1" applyProtection="1">
      <alignment horizontal="right" vertical="top"/>
    </xf>
    <xf numFmtId="164" fontId="19" fillId="3" borderId="7" xfId="0" applyNumberFormat="1" applyFont="1" applyFill="1" applyBorder="1" applyAlignment="1" applyProtection="1">
      <alignment horizontal="right" vertical="top"/>
    </xf>
    <xf numFmtId="166" fontId="19" fillId="3" borderId="7" xfId="0" applyNumberFormat="1" applyFont="1" applyFill="1" applyBorder="1" applyAlignment="1" applyProtection="1">
      <alignment horizontal="right" vertical="top"/>
    </xf>
    <xf numFmtId="0" fontId="16" fillId="3" borderId="0" xfId="2" applyFont="1" applyFill="1"/>
    <xf numFmtId="0" fontId="15" fillId="2" borderId="5" xfId="2" applyFont="1" applyFill="1" applyBorder="1" applyAlignment="1">
      <alignment horizontal="center" vertical="center"/>
    </xf>
    <xf numFmtId="0" fontId="15" fillId="2" borderId="6" xfId="2" applyFont="1" applyFill="1" applyBorder="1" applyAlignment="1">
      <alignment horizontal="center" vertical="center"/>
    </xf>
    <xf numFmtId="0" fontId="15" fillId="2" borderId="3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104</v>
      </c>
      <c r="B1" s="5" t="s">
        <v>104</v>
      </c>
      <c r="C1" s="5" t="s">
        <v>104</v>
      </c>
      <c r="D1" s="5" t="s">
        <v>104</v>
      </c>
      <c r="E1" s="5" t="s">
        <v>104</v>
      </c>
      <c r="F1" s="5" t="s">
        <v>104</v>
      </c>
      <c r="G1" s="5" t="s">
        <v>104</v>
      </c>
      <c r="H1" s="5" t="s">
        <v>104</v>
      </c>
      <c r="I1" s="5" t="s">
        <v>104</v>
      </c>
      <c r="J1" s="5" t="s">
        <v>104</v>
      </c>
      <c r="K1" s="5" t="s">
        <v>104</v>
      </c>
      <c r="L1" s="5" t="s">
        <v>104</v>
      </c>
      <c r="M1" s="5" t="s">
        <v>104</v>
      </c>
      <c r="N1" s="5" t="s">
        <v>104</v>
      </c>
      <c r="O1" s="5" t="s">
        <v>104</v>
      </c>
      <c r="P1" s="5" t="s">
        <v>104</v>
      </c>
      <c r="Q1" s="5" t="s">
        <v>104</v>
      </c>
      <c r="R1" s="5" t="s">
        <v>104</v>
      </c>
      <c r="S1" s="5" t="s">
        <v>104</v>
      </c>
      <c r="T1" s="5" t="s">
        <v>104</v>
      </c>
      <c r="U1" s="5" t="s">
        <v>104</v>
      </c>
      <c r="V1" s="5" t="s">
        <v>104</v>
      </c>
      <c r="W1" s="5" t="s">
        <v>104</v>
      </c>
      <c r="X1" s="5" t="s">
        <v>104</v>
      </c>
      <c r="Y1" s="5" t="s">
        <v>104</v>
      </c>
      <c r="Z1" s="5" t="s">
        <v>104</v>
      </c>
      <c r="AA1" s="5" t="s">
        <v>104</v>
      </c>
      <c r="AB1" s="5" t="s">
        <v>104</v>
      </c>
      <c r="AC1" s="5" t="s">
        <v>104</v>
      </c>
      <c r="AD1" s="5" t="s">
        <v>104</v>
      </c>
      <c r="AE1" s="5" t="s">
        <v>104</v>
      </c>
      <c r="AF1" s="5" t="s">
        <v>104</v>
      </c>
      <c r="AG1" s="5" t="s">
        <v>104</v>
      </c>
      <c r="AH1" s="5" t="s">
        <v>104</v>
      </c>
      <c r="AI1" s="5" t="s">
        <v>104</v>
      </c>
      <c r="AJ1" s="5" t="s">
        <v>104</v>
      </c>
      <c r="AK1" s="5" t="s">
        <v>104</v>
      </c>
      <c r="AQ1" s="1" t="s">
        <v>40</v>
      </c>
      <c r="AR1" t="s">
        <v>30</v>
      </c>
    </row>
    <row r="2" spans="1:57" x14ac:dyDescent="0.2">
      <c r="A2" s="5" t="s">
        <v>104</v>
      </c>
      <c r="B2" s="22" t="e">
        <f>#REF!</f>
        <v>#REF!</v>
      </c>
      <c r="C2" s="5" t="s">
        <v>104</v>
      </c>
      <c r="D2" s="5" t="s">
        <v>104</v>
      </c>
      <c r="E2" s="5" t="s">
        <v>104</v>
      </c>
      <c r="F2" s="5" t="s">
        <v>104</v>
      </c>
      <c r="G2" s="5" t="s">
        <v>104</v>
      </c>
      <c r="H2" s="5" t="s">
        <v>104</v>
      </c>
      <c r="I2" s="5" t="s">
        <v>104</v>
      </c>
      <c r="J2" s="5" t="s">
        <v>104</v>
      </c>
      <c r="K2" s="5" t="s">
        <v>104</v>
      </c>
      <c r="L2" s="5" t="s">
        <v>104</v>
      </c>
      <c r="M2" s="5" t="s">
        <v>104</v>
      </c>
      <c r="N2" s="5" t="s">
        <v>104</v>
      </c>
      <c r="O2" s="5" t="s">
        <v>104</v>
      </c>
      <c r="P2" s="5" t="s">
        <v>104</v>
      </c>
      <c r="Q2" s="5" t="s">
        <v>104</v>
      </c>
      <c r="R2" s="5" t="s">
        <v>104</v>
      </c>
      <c r="S2" s="5" t="s">
        <v>104</v>
      </c>
      <c r="T2" s="5" t="s">
        <v>104</v>
      </c>
      <c r="U2" s="5" t="s">
        <v>104</v>
      </c>
      <c r="V2" s="5" t="s">
        <v>104</v>
      </c>
      <c r="W2" s="5" t="s">
        <v>104</v>
      </c>
      <c r="X2" s="5" t="s">
        <v>104</v>
      </c>
      <c r="Y2" s="5" t="s">
        <v>104</v>
      </c>
      <c r="Z2" s="5" t="s">
        <v>104</v>
      </c>
      <c r="AA2" s="5" t="s">
        <v>104</v>
      </c>
      <c r="AB2" s="5" t="s">
        <v>104</v>
      </c>
      <c r="AC2" s="5" t="s">
        <v>104</v>
      </c>
      <c r="AD2" s="5" t="s">
        <v>104</v>
      </c>
      <c r="AE2" s="5" t="s">
        <v>104</v>
      </c>
      <c r="AF2" s="5" t="s">
        <v>104</v>
      </c>
      <c r="AG2" s="5" t="s">
        <v>104</v>
      </c>
      <c r="AH2" s="5" t="s">
        <v>104</v>
      </c>
      <c r="AI2" s="5" t="s">
        <v>104</v>
      </c>
      <c r="AJ2" s="5" t="s">
        <v>104</v>
      </c>
      <c r="AK2" s="5" t="s">
        <v>104</v>
      </c>
    </row>
    <row r="3" spans="1:57" ht="15.75" customHeight="1" x14ac:dyDescent="0.2">
      <c r="A3" s="1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5" t="s">
        <v>104</v>
      </c>
      <c r="L3" s="5" t="s">
        <v>104</v>
      </c>
      <c r="M3" s="5" t="s">
        <v>104</v>
      </c>
      <c r="N3" s="5" t="s">
        <v>104</v>
      </c>
      <c r="O3" s="5" t="s">
        <v>104</v>
      </c>
      <c r="P3" s="5" t="s">
        <v>104</v>
      </c>
      <c r="Q3" s="5" t="s">
        <v>104</v>
      </c>
      <c r="R3" s="5" t="s">
        <v>104</v>
      </c>
      <c r="S3" s="5" t="s">
        <v>104</v>
      </c>
      <c r="T3" s="18" t="s">
        <v>104</v>
      </c>
      <c r="U3" s="1" t="s">
        <v>40</v>
      </c>
      <c r="V3" s="1" t="s">
        <v>41</v>
      </c>
      <c r="W3" s="1" t="s">
        <v>55</v>
      </c>
      <c r="X3" s="1" t="s">
        <v>56</v>
      </c>
      <c r="Y3" s="1" t="s">
        <v>57</v>
      </c>
      <c r="Z3" s="1" t="s">
        <v>58</v>
      </c>
      <c r="AA3" s="1" t="s">
        <v>42</v>
      </c>
      <c r="AB3" s="1" t="s">
        <v>43</v>
      </c>
      <c r="AC3" s="1" t="s">
        <v>44</v>
      </c>
      <c r="AD3" s="1" t="s">
        <v>59</v>
      </c>
      <c r="AE3" s="1" t="s">
        <v>60</v>
      </c>
      <c r="AF3" s="1" t="s">
        <v>61</v>
      </c>
      <c r="AG3" s="1" t="s">
        <v>62</v>
      </c>
      <c r="AH3" s="1" t="s">
        <v>63</v>
      </c>
      <c r="AI3" s="1" t="s">
        <v>64</v>
      </c>
      <c r="AJ3" s="1" t="s">
        <v>65</v>
      </c>
      <c r="AK3" s="1" t="s">
        <v>66</v>
      </c>
      <c r="AQ3" s="1" t="s">
        <v>41</v>
      </c>
      <c r="AR3" s="1" t="s">
        <v>55</v>
      </c>
      <c r="AS3" s="1" t="s">
        <v>56</v>
      </c>
      <c r="AT3" s="1" t="s">
        <v>57</v>
      </c>
      <c r="AU3" s="1" t="s">
        <v>58</v>
      </c>
      <c r="AV3" s="1" t="s">
        <v>42</v>
      </c>
      <c r="AW3" s="1" t="s">
        <v>43</v>
      </c>
      <c r="AX3" s="1" t="s">
        <v>44</v>
      </c>
      <c r="AY3" s="1" t="s">
        <v>59</v>
      </c>
      <c r="AZ3" s="1" t="s">
        <v>60</v>
      </c>
      <c r="BA3" s="1" t="s">
        <v>62</v>
      </c>
      <c r="BB3" s="1" t="s">
        <v>63</v>
      </c>
      <c r="BC3" s="1" t="s">
        <v>64</v>
      </c>
      <c r="BD3" s="1" t="s">
        <v>66</v>
      </c>
    </row>
    <row r="4" spans="1:57" ht="15.75" customHeight="1" x14ac:dyDescent="0.2">
      <c r="A4" s="2" t="s">
        <v>24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52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0"/>
    </row>
    <row r="6" spans="1:57" x14ac:dyDescent="0.2">
      <c r="A6" s="2" t="s">
        <v>30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0"/>
    </row>
    <row r="7" spans="1:57" x14ac:dyDescent="0.2">
      <c r="A7" s="2" t="s">
        <v>27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2" t="s">
        <v>28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2" t="s">
        <v>29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2" t="s">
        <v>33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2" t="s">
        <v>35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2" t="s">
        <v>36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2" t="s">
        <v>178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2" t="s">
        <v>39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2" t="s">
        <v>48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2" t="s">
        <v>49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2" t="s">
        <v>50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2" t="s">
        <v>185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2" t="s">
        <v>186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2" t="s">
        <v>53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19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19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19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19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19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19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19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19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19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19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19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51</v>
      </c>
      <c r="B3" t="s">
        <v>69</v>
      </c>
      <c r="C3" t="s">
        <v>79</v>
      </c>
      <c r="V3" s="4" t="s">
        <v>80</v>
      </c>
      <c r="W3" s="1" t="s">
        <v>45</v>
      </c>
      <c r="X3" s="1" t="s">
        <v>67</v>
      </c>
      <c r="Y3" t="s">
        <v>78</v>
      </c>
      <c r="Z3" t="s">
        <v>69</v>
      </c>
      <c r="AA3" t="s">
        <v>79</v>
      </c>
    </row>
    <row r="4" spans="1:27" x14ac:dyDescent="0.2">
      <c r="A4" s="2" t="s">
        <v>35</v>
      </c>
      <c r="B4" s="3">
        <v>2467</v>
      </c>
      <c r="C4" s="3">
        <v>3806.1423290000002</v>
      </c>
      <c r="V4" t="str">
        <f>W4&amp;X4</f>
        <v>AIR ASIAP1</v>
      </c>
      <c r="W4" t="s">
        <v>35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27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35</v>
      </c>
      <c r="X5" t="s">
        <v>9</v>
      </c>
      <c r="Y5" s="3"/>
      <c r="Z5" s="3"/>
      <c r="AA5" s="3"/>
    </row>
    <row r="6" spans="1:27" x14ac:dyDescent="0.2">
      <c r="A6" s="2" t="s">
        <v>28</v>
      </c>
      <c r="B6" s="3">
        <v>1472</v>
      </c>
      <c r="C6" s="3">
        <v>2956.1</v>
      </c>
      <c r="V6" t="str">
        <f t="shared" si="0"/>
        <v>AIR ASIAP3</v>
      </c>
      <c r="W6" t="s">
        <v>35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50</v>
      </c>
      <c r="B7" s="3">
        <v>61052</v>
      </c>
      <c r="C7" s="3">
        <v>93775.981349000009</v>
      </c>
      <c r="V7" t="str">
        <f t="shared" si="0"/>
        <v>AIR ASIAP4</v>
      </c>
      <c r="W7" t="s">
        <v>35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29</v>
      </c>
      <c r="B8" s="3">
        <v>648</v>
      </c>
      <c r="C8" s="3">
        <v>1392.7165519999999</v>
      </c>
      <c r="V8" t="str">
        <f t="shared" si="0"/>
        <v>AIR ASIAP4.1</v>
      </c>
      <c r="W8" t="s">
        <v>35</v>
      </c>
      <c r="X8" t="s">
        <v>46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37</v>
      </c>
      <c r="B9" s="3">
        <v>1389</v>
      </c>
      <c r="C9" s="3">
        <v>1617.18</v>
      </c>
      <c r="V9" t="str">
        <f t="shared" si="0"/>
        <v>AIR ASIAP4.2</v>
      </c>
      <c r="W9" t="s">
        <v>35</v>
      </c>
      <c r="X9" t="s">
        <v>47</v>
      </c>
      <c r="Y9" s="3"/>
      <c r="Z9" s="3"/>
      <c r="AA9" s="3"/>
    </row>
    <row r="10" spans="1:27" x14ac:dyDescent="0.2">
      <c r="A10" s="2" t="s">
        <v>30</v>
      </c>
      <c r="B10" s="3">
        <v>4140</v>
      </c>
      <c r="C10" s="3">
        <v>6380</v>
      </c>
      <c r="V10" t="str">
        <f t="shared" si="0"/>
        <v>AIR ASIAP5</v>
      </c>
      <c r="W10" t="s">
        <v>35</v>
      </c>
      <c r="X10" t="s">
        <v>12</v>
      </c>
      <c r="Y10" s="3"/>
      <c r="Z10" s="3"/>
      <c r="AA10" s="3"/>
    </row>
    <row r="11" spans="1:27" x14ac:dyDescent="0.2">
      <c r="A11" s="2" t="s">
        <v>24</v>
      </c>
      <c r="B11" s="3">
        <v>25201</v>
      </c>
      <c r="C11" s="3">
        <v>33290.79</v>
      </c>
      <c r="V11" t="str">
        <f t="shared" si="0"/>
        <v>AIR ASIAP6</v>
      </c>
      <c r="W11" t="s">
        <v>35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48</v>
      </c>
      <c r="B12" s="3">
        <v>12112</v>
      </c>
      <c r="C12" s="3">
        <v>34401.086552000001</v>
      </c>
      <c r="V12" t="str">
        <f t="shared" si="0"/>
        <v>AIR INDIAP1</v>
      </c>
      <c r="W12" t="s">
        <v>27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49</v>
      </c>
      <c r="B13" s="3">
        <v>48940</v>
      </c>
      <c r="C13" s="3">
        <v>59374.894797000001</v>
      </c>
      <c r="V13" t="str">
        <f t="shared" si="0"/>
        <v>AIR INDIAP2</v>
      </c>
      <c r="W13" t="s">
        <v>27</v>
      </c>
      <c r="X13" t="s">
        <v>9</v>
      </c>
      <c r="Y13" s="3"/>
      <c r="Z13" s="3"/>
      <c r="AA13" s="3"/>
    </row>
    <row r="14" spans="1:27" x14ac:dyDescent="0.2">
      <c r="A14" s="2" t="s">
        <v>33</v>
      </c>
      <c r="B14" s="3">
        <v>12094</v>
      </c>
      <c r="C14" s="3">
        <v>9401.4900000000016</v>
      </c>
      <c r="V14" t="str">
        <f t="shared" si="0"/>
        <v>AIR INDIAP3</v>
      </c>
      <c r="W14" t="s">
        <v>27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39</v>
      </c>
      <c r="B15" s="3">
        <v>895</v>
      </c>
      <c r="C15" s="3">
        <v>801.87858399999982</v>
      </c>
      <c r="V15" t="str">
        <f t="shared" si="0"/>
        <v>AIR INDIAP4</v>
      </c>
      <c r="W15" t="s">
        <v>27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36</v>
      </c>
      <c r="B16" s="3">
        <v>2721</v>
      </c>
      <c r="C16" s="3">
        <v>4070.3999999999996</v>
      </c>
      <c r="V16" t="str">
        <f t="shared" si="0"/>
        <v>AIR INDIAP4.1</v>
      </c>
      <c r="W16" t="s">
        <v>27</v>
      </c>
      <c r="X16" t="s">
        <v>46</v>
      </c>
      <c r="Y16" s="3"/>
      <c r="Z16" s="3"/>
      <c r="AA16" s="3"/>
    </row>
    <row r="17" spans="1:27" x14ac:dyDescent="0.2">
      <c r="A17" s="2" t="s">
        <v>52</v>
      </c>
      <c r="B17" s="3"/>
      <c r="C17" s="3"/>
      <c r="V17" t="str">
        <f t="shared" si="0"/>
        <v>AIR INDIAP4.2</v>
      </c>
      <c r="W17" t="s">
        <v>27</v>
      </c>
      <c r="X17" t="s">
        <v>47</v>
      </c>
      <c r="Y17" s="3"/>
      <c r="Z17" s="3"/>
      <c r="AA17" s="3"/>
    </row>
    <row r="18" spans="1:27" x14ac:dyDescent="0.2">
      <c r="A18" s="2" t="s">
        <v>185</v>
      </c>
      <c r="B18" s="3"/>
      <c r="C18" s="3"/>
      <c r="V18" t="str">
        <f t="shared" si="0"/>
        <v>AIR INDIAP5</v>
      </c>
      <c r="W18" t="s">
        <v>27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187</v>
      </c>
      <c r="B19" s="3">
        <v>33</v>
      </c>
      <c r="C19" s="3">
        <v>7.0138840000000009</v>
      </c>
      <c r="V19" t="str">
        <f t="shared" si="0"/>
        <v>AIR INDIAP6</v>
      </c>
      <c r="W19" t="s">
        <v>27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53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28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28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28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29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29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29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37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37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37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30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30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30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30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30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24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39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36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185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185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185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185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185</v>
      </c>
      <c r="X113" t="s">
        <v>46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185</v>
      </c>
      <c r="X114" t="s">
        <v>47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185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185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187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187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187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187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187</v>
      </c>
      <c r="X121" t="s">
        <v>46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187</v>
      </c>
      <c r="X122" t="s">
        <v>47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187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187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22</v>
      </c>
      <c r="C2" s="7" t="s">
        <v>106</v>
      </c>
      <c r="D2" s="7" t="s">
        <v>107</v>
      </c>
      <c r="E2" s="7" t="s">
        <v>23</v>
      </c>
      <c r="F2" s="7" t="s">
        <v>108</v>
      </c>
      <c r="G2" s="8" t="s">
        <v>109</v>
      </c>
      <c r="H2" s="8" t="s">
        <v>110</v>
      </c>
      <c r="I2" s="9" t="s">
        <v>111</v>
      </c>
      <c r="J2" s="8" t="s">
        <v>112</v>
      </c>
      <c r="K2" s="8" t="s">
        <v>113</v>
      </c>
      <c r="L2" s="8" t="s">
        <v>114</v>
      </c>
      <c r="M2" s="8" t="s">
        <v>115</v>
      </c>
      <c r="N2" s="8" t="s">
        <v>116</v>
      </c>
      <c r="O2" s="8" t="s">
        <v>117</v>
      </c>
      <c r="P2" s="8" t="s">
        <v>118</v>
      </c>
      <c r="Q2" s="8" t="s">
        <v>119</v>
      </c>
      <c r="R2" s="8" t="s">
        <v>120</v>
      </c>
      <c r="S2" s="10" t="s">
        <v>121</v>
      </c>
      <c r="T2" s="8" t="s">
        <v>122</v>
      </c>
      <c r="U2" s="8" t="s">
        <v>123</v>
      </c>
      <c r="V2" s="7" t="s">
        <v>124</v>
      </c>
      <c r="W2" s="8" t="s">
        <v>125</v>
      </c>
      <c r="X2" s="7" t="s">
        <v>126</v>
      </c>
      <c r="Y2" s="7" t="s">
        <v>127</v>
      </c>
    </row>
    <row r="3" spans="1:25" x14ac:dyDescent="0.2">
      <c r="A3" s="1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5" customFormat="1" x14ac:dyDescent="0.2">
      <c r="A4" s="17" t="s">
        <v>35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27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28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29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37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30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24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31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32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33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39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36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52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48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49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50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185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186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184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53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Q19"/>
  <sheetViews>
    <sheetView showGridLines="0" tabSelected="1" view="pageBreakPreview" zoomScaleNormal="100" zoomScaleSheetLayoutView="100" workbookViewId="0">
      <selection activeCell="A3" sqref="A3:N3"/>
    </sheetView>
  </sheetViews>
  <sheetFormatPr defaultColWidth="11" defaultRowHeight="35.1" customHeight="1" x14ac:dyDescent="0.25"/>
  <cols>
    <col min="1" max="1" width="22.85546875" style="23" customWidth="1"/>
    <col min="2" max="2" width="7.140625" style="23" customWidth="1"/>
    <col min="3" max="3" width="4.7109375" style="23" customWidth="1"/>
    <col min="4" max="4" width="4.85546875" style="23" customWidth="1"/>
    <col min="5" max="5" width="5.85546875" style="23" customWidth="1"/>
    <col min="6" max="6" width="9.5703125" style="23" customWidth="1"/>
    <col min="7" max="7" width="8.7109375" style="23" customWidth="1"/>
    <col min="8" max="8" width="10" style="23" customWidth="1"/>
    <col min="9" max="9" width="9.85546875" style="23" customWidth="1"/>
    <col min="10" max="10" width="9.7109375" style="23" customWidth="1"/>
    <col min="11" max="11" width="10" style="23" customWidth="1"/>
    <col min="12" max="12" width="11.28515625" style="23" customWidth="1"/>
    <col min="13" max="13" width="10" style="23" customWidth="1"/>
    <col min="14" max="14" width="11.7109375" style="23" customWidth="1"/>
    <col min="15" max="15" width="17.85546875" style="23" customWidth="1"/>
    <col min="16" max="16384" width="11" style="23"/>
  </cols>
  <sheetData>
    <row r="1" spans="1:17" ht="24.95" customHeight="1" x14ac:dyDescent="0.25">
      <c r="A1" s="41" t="s">
        <v>197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7" ht="24.95" customHeight="1" x14ac:dyDescent="0.25">
      <c r="A2" s="43" t="s">
        <v>198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</row>
    <row r="3" spans="1:17" ht="32.25" customHeight="1" x14ac:dyDescent="0.25">
      <c r="A3" s="47" t="s">
        <v>189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</row>
    <row r="4" spans="1:17" ht="35.1" customHeight="1" x14ac:dyDescent="0.25">
      <c r="A4" s="44" t="s">
        <v>21</v>
      </c>
      <c r="B4" s="45" t="s">
        <v>7</v>
      </c>
      <c r="C4" s="45"/>
      <c r="D4" s="45"/>
      <c r="E4" s="45"/>
      <c r="F4" s="45" t="s">
        <v>6</v>
      </c>
      <c r="G4" s="45"/>
      <c r="H4" s="45"/>
      <c r="I4" s="45" t="s">
        <v>5</v>
      </c>
      <c r="J4" s="45"/>
      <c r="K4" s="45"/>
      <c r="L4" s="45"/>
      <c r="M4" s="45"/>
      <c r="N4" s="45"/>
    </row>
    <row r="5" spans="1:17" ht="35.1" customHeight="1" x14ac:dyDescent="0.25">
      <c r="A5" s="44"/>
      <c r="B5" s="44" t="s">
        <v>20</v>
      </c>
      <c r="C5" s="44" t="s">
        <v>19</v>
      </c>
      <c r="D5" s="44" t="s">
        <v>18</v>
      </c>
      <c r="E5" s="44" t="s">
        <v>17</v>
      </c>
      <c r="F5" s="44" t="s">
        <v>4</v>
      </c>
      <c r="G5" s="44" t="s">
        <v>26</v>
      </c>
      <c r="H5" s="44" t="s">
        <v>14</v>
      </c>
      <c r="I5" s="45" t="s">
        <v>3</v>
      </c>
      <c r="J5" s="45"/>
      <c r="K5" s="45"/>
      <c r="L5" s="45" t="s">
        <v>2</v>
      </c>
      <c r="M5" s="45"/>
      <c r="N5" s="45"/>
    </row>
    <row r="6" spans="1:17" ht="95.25" customHeight="1" x14ac:dyDescent="0.25">
      <c r="A6" s="44"/>
      <c r="B6" s="44"/>
      <c r="C6" s="44"/>
      <c r="D6" s="44"/>
      <c r="E6" s="44"/>
      <c r="F6" s="44"/>
      <c r="G6" s="44"/>
      <c r="H6" s="44"/>
      <c r="I6" s="24" t="s">
        <v>15</v>
      </c>
      <c r="J6" s="24" t="s">
        <v>16</v>
      </c>
      <c r="K6" s="24" t="s">
        <v>196</v>
      </c>
      <c r="L6" s="24" t="s">
        <v>15</v>
      </c>
      <c r="M6" s="24" t="s">
        <v>16</v>
      </c>
      <c r="N6" s="24" t="s">
        <v>1</v>
      </c>
    </row>
    <row r="7" spans="1:17" ht="20.25" customHeight="1" x14ac:dyDescent="0.25">
      <c r="A7" s="25" t="s">
        <v>190</v>
      </c>
      <c r="B7" s="26">
        <v>5</v>
      </c>
      <c r="C7" s="26">
        <v>0</v>
      </c>
      <c r="D7" s="26">
        <v>0</v>
      </c>
      <c r="E7" s="26">
        <v>5</v>
      </c>
      <c r="F7" s="27">
        <v>149</v>
      </c>
      <c r="G7" s="28">
        <v>13.5</v>
      </c>
      <c r="H7" s="29">
        <v>45.75</v>
      </c>
      <c r="I7" s="30">
        <v>5737</v>
      </c>
      <c r="J7" s="31">
        <v>1</v>
      </c>
      <c r="K7" s="32">
        <v>5748</v>
      </c>
      <c r="L7" s="31">
        <v>7386</v>
      </c>
      <c r="M7" s="31">
        <v>1</v>
      </c>
      <c r="N7" s="31">
        <v>7405</v>
      </c>
    </row>
    <row r="8" spans="1:17" ht="18" customHeight="1" x14ac:dyDescent="0.25">
      <c r="A8" s="25" t="s">
        <v>188</v>
      </c>
      <c r="B8" s="26">
        <v>15</v>
      </c>
      <c r="C8" s="26">
        <v>0</v>
      </c>
      <c r="D8" s="26">
        <v>1</v>
      </c>
      <c r="E8" s="26">
        <v>14</v>
      </c>
      <c r="F8" s="33">
        <v>189</v>
      </c>
      <c r="G8" s="34">
        <v>18</v>
      </c>
      <c r="H8" s="29">
        <v>40.200000000000003</v>
      </c>
      <c r="I8" s="32">
        <v>17544</v>
      </c>
      <c r="J8" s="32">
        <v>72</v>
      </c>
      <c r="K8" s="32">
        <v>17832</v>
      </c>
      <c r="L8" s="26">
        <v>35688</v>
      </c>
      <c r="M8" s="26">
        <v>109</v>
      </c>
      <c r="N8" s="31">
        <v>36198</v>
      </c>
    </row>
    <row r="9" spans="1:17" ht="18.75" customHeight="1" x14ac:dyDescent="0.25">
      <c r="A9" s="25" t="s">
        <v>191</v>
      </c>
      <c r="B9" s="26">
        <v>3</v>
      </c>
      <c r="C9" s="26">
        <v>0</v>
      </c>
      <c r="D9" s="26">
        <v>0</v>
      </c>
      <c r="E9" s="26">
        <v>3</v>
      </c>
      <c r="F9" s="31">
        <v>212</v>
      </c>
      <c r="G9" s="34">
        <v>19</v>
      </c>
      <c r="H9" s="35">
        <v>60.6</v>
      </c>
      <c r="I9" s="32">
        <v>1932</v>
      </c>
      <c r="J9" s="32">
        <v>0</v>
      </c>
      <c r="K9" s="32">
        <v>1934</v>
      </c>
      <c r="L9" s="26">
        <v>3141</v>
      </c>
      <c r="M9" s="26">
        <v>0</v>
      </c>
      <c r="N9" s="31">
        <v>3144</v>
      </c>
      <c r="Q9" s="23" t="s">
        <v>0</v>
      </c>
    </row>
    <row r="10" spans="1:17" ht="18" customHeight="1" x14ac:dyDescent="0.25">
      <c r="A10" s="25" t="s">
        <v>192</v>
      </c>
      <c r="B10" s="26">
        <v>13</v>
      </c>
      <c r="C10" s="26">
        <v>0</v>
      </c>
      <c r="D10" s="26">
        <v>6</v>
      </c>
      <c r="E10" s="26">
        <v>7</v>
      </c>
      <c r="F10" s="33">
        <v>189</v>
      </c>
      <c r="G10" s="34">
        <v>20</v>
      </c>
      <c r="H10" s="35">
        <v>34.31</v>
      </c>
      <c r="I10" s="32">
        <v>18524</v>
      </c>
      <c r="J10" s="32">
        <v>138</v>
      </c>
      <c r="K10" s="32">
        <v>19304</v>
      </c>
      <c r="L10" s="26">
        <v>42179</v>
      </c>
      <c r="M10" s="26">
        <v>293</v>
      </c>
      <c r="N10" s="31">
        <v>43865</v>
      </c>
    </row>
    <row r="11" spans="1:17" ht="18.75" customHeight="1" x14ac:dyDescent="0.25">
      <c r="A11" s="25" t="s">
        <v>193</v>
      </c>
      <c r="B11" s="26">
        <v>3</v>
      </c>
      <c r="C11" s="26">
        <v>0</v>
      </c>
      <c r="D11" s="26">
        <v>0</v>
      </c>
      <c r="E11" s="26">
        <v>3</v>
      </c>
      <c r="F11" s="31">
        <v>189</v>
      </c>
      <c r="G11" s="34">
        <v>18</v>
      </c>
      <c r="H11" s="35">
        <v>0</v>
      </c>
      <c r="I11" s="32">
        <v>0</v>
      </c>
      <c r="J11" s="32">
        <v>0</v>
      </c>
      <c r="K11" s="32">
        <f t="shared" ref="K11" si="0">I11+J11</f>
        <v>0</v>
      </c>
      <c r="L11" s="26">
        <v>0</v>
      </c>
      <c r="M11" s="26">
        <v>0</v>
      </c>
      <c r="N11" s="31">
        <f t="shared" ref="N11" si="1">L11+M11</f>
        <v>0</v>
      </c>
    </row>
    <row r="12" spans="1:17" ht="19.5" customHeight="1" x14ac:dyDescent="0.25">
      <c r="A12" s="25" t="s">
        <v>194</v>
      </c>
      <c r="B12" s="26">
        <v>27</v>
      </c>
      <c r="C12" s="26">
        <v>0</v>
      </c>
      <c r="D12" s="26">
        <v>4</v>
      </c>
      <c r="E12" s="26">
        <v>23</v>
      </c>
      <c r="F12" s="33" t="s">
        <v>195</v>
      </c>
      <c r="G12" s="34">
        <v>7.5</v>
      </c>
      <c r="H12" s="29">
        <v>20.14</v>
      </c>
      <c r="I12" s="32">
        <v>13766</v>
      </c>
      <c r="J12" s="32">
        <v>74</v>
      </c>
      <c r="K12" s="32">
        <v>14157</v>
      </c>
      <c r="L12" s="26">
        <v>18101</v>
      </c>
      <c r="M12" s="26">
        <v>107</v>
      </c>
      <c r="N12" s="31">
        <v>18723</v>
      </c>
    </row>
    <row r="13" spans="1:17" ht="22.5" customHeight="1" x14ac:dyDescent="0.25">
      <c r="A13" s="36" t="s">
        <v>53</v>
      </c>
      <c r="B13" s="37">
        <f>SUM(B7:B12)</f>
        <v>66</v>
      </c>
      <c r="C13" s="37">
        <f t="shared" ref="C13:N13" si="2">SUM(C7:C12)</f>
        <v>0</v>
      </c>
      <c r="D13" s="37">
        <f t="shared" si="2"/>
        <v>11</v>
      </c>
      <c r="E13" s="37">
        <f t="shared" si="2"/>
        <v>55</v>
      </c>
      <c r="F13" s="37"/>
      <c r="G13" s="38"/>
      <c r="H13" s="39"/>
      <c r="I13" s="37">
        <f t="shared" si="2"/>
        <v>57503</v>
      </c>
      <c r="J13" s="37">
        <f t="shared" si="2"/>
        <v>285</v>
      </c>
      <c r="K13" s="37">
        <f t="shared" si="2"/>
        <v>58975</v>
      </c>
      <c r="L13" s="37">
        <f t="shared" si="2"/>
        <v>106495</v>
      </c>
      <c r="M13" s="37">
        <f t="shared" si="2"/>
        <v>510</v>
      </c>
      <c r="N13" s="37">
        <f t="shared" si="2"/>
        <v>109335</v>
      </c>
    </row>
    <row r="14" spans="1:17" ht="35.1" customHeigh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</row>
    <row r="15" spans="1:17" ht="35.1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</row>
    <row r="16" spans="1:17" ht="35.1" customHeigh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1:14" ht="35.1" customHeigh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</row>
    <row r="18" spans="1:14" ht="35.1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</row>
    <row r="19" spans="1:14" ht="35.1" customHeigh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</row>
  </sheetData>
  <mergeCells count="16"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2025-04-03T12:01:40Z</dcterms:modified>
</cp:coreProperties>
</file>