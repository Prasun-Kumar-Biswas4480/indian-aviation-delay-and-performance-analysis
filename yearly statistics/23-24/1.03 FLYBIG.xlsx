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Annual Report 2023-24\Airline Wise\FLYBIG\"/>
    </mc:Choice>
  </mc:AlternateContent>
  <bookViews>
    <workbookView xWindow="0" yWindow="0" windowWidth="24000" windowHeight="11025"/>
  </bookViews>
  <sheets>
    <sheet name="FLY BI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7" i="1" l="1"/>
  <c r="H17" i="1"/>
  <c r="Q16" i="1"/>
  <c r="H16" i="1"/>
  <c r="Q15" i="1"/>
  <c r="H15" i="1"/>
  <c r="Q14" i="1"/>
  <c r="H14" i="1"/>
  <c r="Q13" i="1"/>
  <c r="H13" i="1"/>
  <c r="Q12" i="1"/>
  <c r="H12" i="1"/>
  <c r="Q11" i="1"/>
  <c r="H11" i="1"/>
  <c r="Q10" i="1"/>
  <c r="H10" i="1"/>
  <c r="Q9" i="1"/>
  <c r="H9" i="1"/>
  <c r="Q8" i="1"/>
  <c r="H8" i="1"/>
  <c r="Q7" i="1"/>
  <c r="H7" i="1"/>
  <c r="Q6" i="1"/>
  <c r="H6" i="1"/>
  <c r="P18" i="1" l="1"/>
  <c r="O18" i="1"/>
  <c r="Q18" i="1" s="1"/>
  <c r="N18" i="1"/>
  <c r="M18" i="1"/>
  <c r="L18" i="1"/>
  <c r="K18" i="1"/>
  <c r="J18" i="1"/>
  <c r="I18" i="1"/>
  <c r="G18" i="1"/>
  <c r="F18" i="1"/>
  <c r="E18" i="1"/>
  <c r="D18" i="1"/>
  <c r="C18" i="1"/>
  <c r="B18" i="1"/>
  <c r="H18" i="1" l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<sst xmlns="http://schemas.openxmlformats.org/spreadsheetml/2006/main" count="26" uniqueCount="24">
  <si>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</si>
  <si>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</si>
  <si>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</si>
  <si>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</si>
  <si>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</si>
  <si>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</si>
  <si>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</si>
  <si>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</si>
  <si>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</si>
  <si>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</si>
  <si>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</si>
  <si>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</si>
  <si>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</si>
  <si>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</si>
  <si>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</si>
  <si>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</si>
  <si>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</si>
  <si>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</si>
  <si>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</si>
  <si>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1.03 (फ्लाई बिग) </t>
  </si>
  <si>
    <t>Table 1.03 (FLY BIG)</t>
  </si>
  <si>
    <t>SOURCE:-  ICAO ATR FORM 'A' FURNISHED BY FLY BIG</t>
  </si>
  <si>
    <t>2023-24</t>
  </si>
  <si>
    <t>MONTHLY TRAFFIC AND OPERATING STATISTICS OF FLY BIG ON SCHEDULED (DOMESTIC + INTERNATIONAL) SERVICES DURING 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</si>
</sst>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.0_);_(* \(#,##0.0\);_(* &quot;-&quot;??_);_(@_)"/>
    <numFmt numFmtId="165" formatCode="_(* #,##0_);_(* \(#,##0\);_(* &quot;-&quot;??_);_(@_)"/>
    <numFmt numFmtId="166" formatCode="[$-409]mmm/yy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</cellStyleXfs>
  <cellXfs count="25">
    <xf numFmtId="0" fontId="0" fillId="0" borderId="0" xfId="0"/>
    <xf numFmtId="164" fontId="1" fillId="3" borderId="1" xfId="3" applyNumberForma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0" fontId="2" fillId="3" borderId="1" xfId="3" applyFont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165" fontId="0" fillId="0" borderId="1" xfId="1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65" fontId="1" fillId="3" borderId="1" xfId="3" applyNumberFormat="1" applyBorder="1" applyAlignment="1">
      <alignment horizontal="center" vertical="center"/>
    </xf>
    <xf numFmtId="43" fontId="1" fillId="3" borderId="1" xfId="3" applyNumberFormat="1" applyBorder="1" applyAlignment="1">
      <alignment horizontal="center" vertical="center"/>
    </xf>
    <xf numFmtId="3" fontId="2" fillId="3" borderId="1" xfId="3" applyNumberFormat="1" applyFont="1" applyBorder="1" applyAlignment="1">
      <alignment horizontal="right" vertical="center"/>
    </xf>
    <xf numFmtId="164" fontId="2" fillId="3" borderId="1" xfId="3" applyNumberFormat="1" applyFont="1" applyBorder="1" applyAlignment="1">
      <alignment horizontal="center" vertical="center"/>
    </xf>
    <xf numFmtId="43" fontId="2" fillId="3" borderId="1" xfId="3" applyNumberFormat="1" applyFont="1" applyBorder="1" applyAlignment="1">
      <alignment horizontal="center" vertical="center"/>
    </xf>
    <xf numFmtId="166" fontId="1" fillId="3" borderId="1" xfId="3" applyNumberFormat="1" applyBorder="1" applyAlignment="1" applyProtection="1">
      <alignment horizontal="center" vertical="center" wrapText="1"/>
    </xf>
    <xf numFmtId="166" fontId="4" fillId="4" borderId="1" xfId="0" applyNumberFormat="1" applyFont="1" applyFill="1" applyBorder="1" applyAlignment="1" applyProtection="1">
      <alignment horizontal="center" vertical="center" wrapText="1"/>
    </xf>
    <xf numFmtId="0" fontId="4" fillId="2" borderId="1" xfId="2" applyFont="1" applyBorder="1" applyAlignment="1" applyProtection="1">
      <alignment horizontal="center" vertical="center" textRotation="90" wrapText="1"/>
    </xf>
    <xf numFmtId="0" fontId="4" fillId="2" borderId="1" xfId="2" applyFont="1" applyBorder="1" applyAlignment="1">
      <alignment textRotation="90"/>
    </xf>
    <xf numFmtId="0" fontId="5" fillId="4" borderId="2" xfId="0" applyFont="1" applyFill="1" applyBorder="1" applyAlignment="1" applyProtection="1">
      <alignment horizontal="left" vertical="center" wrapText="1"/>
    </xf>
    <xf numFmtId="0" fontId="5" fillId="4" borderId="3" xfId="0" applyFont="1" applyFill="1" applyBorder="1" applyAlignment="1" applyProtection="1">
      <alignment horizontal="left" vertical="center" wrapText="1"/>
    </xf>
    <xf numFmtId="0" fontId="5" fillId="4" borderId="4" xfId="0" applyFont="1" applyFill="1" applyBorder="1" applyAlignment="1" applyProtection="1">
      <alignment horizontal="left" vertical="center" wrapText="1"/>
    </xf>
    <xf numFmtId="0" fontId="0" fillId="3" borderId="1" xfId="3" applyFont="1" applyBorder="1" applyAlignment="1">
      <alignment horizontal="center" vertical="center" wrapText="1"/>
    </xf>
    <xf numFmtId="0" fontId="1" fillId="3" borderId="1" xfId="3" applyBorder="1" applyAlignment="1">
      <alignment horizontal="center" vertical="center" wrapText="1"/>
    </xf>
    <xf numFmtId="0" fontId="0" fillId="3" borderId="1" xfId="3" quotePrefix="1" applyFont="1" applyBorder="1" applyAlignment="1" applyProtection="1">
      <alignment horizontal="center" vertical="center" wrapText="1"/>
    </xf>
    <xf numFmtId="0" fontId="1" fillId="3" borderId="1" xfId="3" applyBorder="1"/>
    <xf numFmtId="0" fontId="4" fillId="2" borderId="1" xfId="2" applyFont="1" applyBorder="1" applyAlignment="1" applyProtection="1">
      <alignment horizontal="center" vertical="center" wrapText="1"/>
    </xf>
    <xf numFmtId="0" fontId="4" fillId="2" borderId="1" xfId="2" applyFont="1" applyBorder="1"/>
  </cellXfs>
  <cellStyles count="4">
    <cellStyle name="40% - Accent1" xfId="3" builtinId="31"/>
    <cellStyle name="Accent1" xfId="2" builtinId="2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19"/>
  <sheetViews>
    <sheetView tabSelected="1" view="pageBreakPreview" zoomScale="85" zoomScaleNormal="100" zoomScaleSheetLayoutView="85" workbookViewId="0">
      <selection activeCell="H18" sqref="H18"/>
    </sheetView>
  </sheetViews>
  <sheetFormatPr defaultRowHeight="18.600000000000001" customHeight="1" x14ac:dyDescent="0.25"/>
  <cols>
    <col min="1" max="1" width="17.5703125" customWidth="1"/>
    <col min="2" max="4" width="8.140625" customWidth="1"/>
    <col min="5" max="5" width="8.85546875" customWidth="1"/>
    <col min="6" max="10" width="8.140625" customWidth="1"/>
    <col min="11" max="11" width="13.42578125" customWidth="1"/>
    <col min="12" max="15" width="8.140625" customWidth="1"/>
    <col min="16" max="16" width="10.5703125" customWidth="1"/>
    <col min="17" max="17" width="12.42578125" customWidth="1"/>
  </cols>
  <sheetData>
    <row r="1" spans="1:17" ht="18.600000000000001" customHeight="1" x14ac:dyDescent="0.25">
      <c r="A1" s="19" t="s">
        <v>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ht="18.600000000000001" customHeight="1" x14ac:dyDescent="0.25">
      <c r="A2" s="21" t="s">
        <v>20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</row>
    <row r="3" spans="1:17" ht="18.600000000000001" customHeight="1" x14ac:dyDescent="0.25">
      <c r="A3" s="23" t="s">
        <v>23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</row>
    <row r="4" spans="1:17" ht="18.600000000000001" customHeight="1" x14ac:dyDescent="0.25">
      <c r="A4" s="23" t="s">
        <v>0</v>
      </c>
      <c r="B4" s="23" t="s">
        <v>1</v>
      </c>
      <c r="C4" s="23"/>
      <c r="D4" s="23"/>
      <c r="E4" s="23" t="s">
        <v>2</v>
      </c>
      <c r="F4" s="24"/>
      <c r="G4" s="14" t="s">
        <v>3</v>
      </c>
      <c r="H4" s="14" t="s">
        <v>4</v>
      </c>
      <c r="I4" s="23" t="s">
        <v>5</v>
      </c>
      <c r="J4" s="23"/>
      <c r="K4" s="23"/>
      <c r="L4" s="23" t="s">
        <v>6</v>
      </c>
      <c r="M4" s="23"/>
      <c r="N4" s="23"/>
      <c r="O4" s="23"/>
      <c r="P4" s="14" t="s">
        <v>7</v>
      </c>
      <c r="Q4" s="14" t="s">
        <v>8</v>
      </c>
    </row>
    <row r="5" spans="1:17" ht="100.15" customHeight="1" x14ac:dyDescent="0.25">
      <c r="A5" s="23"/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  <c r="G5" s="15"/>
      <c r="H5" s="15"/>
      <c r="I5" s="4" t="s">
        <v>14</v>
      </c>
      <c r="J5" s="4" t="s">
        <v>15</v>
      </c>
      <c r="K5" s="4" t="s">
        <v>16</v>
      </c>
      <c r="L5" s="4" t="s">
        <v>17</v>
      </c>
      <c r="M5" s="4" t="s">
        <v>18</v>
      </c>
      <c r="N5" s="4" t="s">
        <v>15</v>
      </c>
      <c r="O5" s="4" t="s">
        <v>16</v>
      </c>
      <c r="P5" s="15"/>
      <c r="Q5" s="15"/>
    </row>
    <row r="6" spans="1:17" ht="18.600000000000001" customHeight="1" x14ac:dyDescent="0.25">
      <c r="A6" s="12">
        <v>45017</v>
      </c>
      <c r="B6" s="1">
        <v>452</v>
      </c>
      <c r="C6" s="1">
        <v>606.76666666666665</v>
      </c>
      <c r="D6" s="1">
        <v>180</v>
      </c>
      <c r="E6" s="7">
        <v>19895</v>
      </c>
      <c r="F6" s="1">
        <v>7.9610000000000003</v>
      </c>
      <c r="G6" s="1">
        <v>12.662000000000001</v>
      </c>
      <c r="H6" s="1">
        <f t="shared" ref="H6:H16" si="0">F6/G6*100</f>
        <v>62.87316379718844</v>
      </c>
      <c r="I6" s="1"/>
      <c r="J6" s="1"/>
      <c r="K6" s="1"/>
      <c r="L6" s="1">
        <v>0.59710000000000008</v>
      </c>
      <c r="M6" s="1">
        <v>0</v>
      </c>
      <c r="N6" s="1">
        <v>0</v>
      </c>
      <c r="O6" s="1">
        <v>0.59710000000000008</v>
      </c>
      <c r="P6" s="1">
        <v>3.9577119999999999</v>
      </c>
      <c r="Q6" s="1">
        <f t="shared" ref="Q6:Q17" si="1">O6/P6*100</f>
        <v>15.086999761478351</v>
      </c>
    </row>
    <row r="7" spans="1:17" ht="18.600000000000001" customHeight="1" x14ac:dyDescent="0.25">
      <c r="A7" s="13">
        <v>45047</v>
      </c>
      <c r="B7" s="2">
        <v>459</v>
      </c>
      <c r="C7" s="2">
        <v>621.73333333333335</v>
      </c>
      <c r="D7" s="2">
        <v>194</v>
      </c>
      <c r="E7" s="5">
        <v>16260</v>
      </c>
      <c r="F7" s="2">
        <v>7.1466009999999995</v>
      </c>
      <c r="G7" s="2">
        <v>13.693365999999999</v>
      </c>
      <c r="H7" s="2">
        <f t="shared" si="0"/>
        <v>52.190243070987805</v>
      </c>
      <c r="I7" s="2"/>
      <c r="J7" s="2"/>
      <c r="K7" s="2">
        <v>0</v>
      </c>
      <c r="L7" s="2">
        <v>0.53599507499999988</v>
      </c>
      <c r="M7" s="2">
        <v>0</v>
      </c>
      <c r="N7" s="2">
        <v>0</v>
      </c>
      <c r="O7" s="2">
        <v>0.53599507499999988</v>
      </c>
      <c r="P7" s="2">
        <v>4.2818379999999996</v>
      </c>
      <c r="Q7" s="2">
        <f t="shared" si="1"/>
        <v>12.517873749544004</v>
      </c>
    </row>
    <row r="8" spans="1:17" ht="18.600000000000001" customHeight="1" x14ac:dyDescent="0.25">
      <c r="A8" s="12">
        <v>45078</v>
      </c>
      <c r="B8" s="1">
        <v>543</v>
      </c>
      <c r="C8" s="1">
        <v>726</v>
      </c>
      <c r="D8" s="1">
        <v>205</v>
      </c>
      <c r="E8" s="7">
        <v>22277</v>
      </c>
      <c r="F8" s="1">
        <v>9.0579999999999998</v>
      </c>
      <c r="G8" s="1">
        <v>15.522</v>
      </c>
      <c r="H8" s="1">
        <f t="shared" si="0"/>
        <v>58.355881973972423</v>
      </c>
      <c r="I8" s="1"/>
      <c r="J8" s="1"/>
      <c r="K8" s="1">
        <v>0</v>
      </c>
      <c r="L8" s="1">
        <v>0.59199999999999997</v>
      </c>
      <c r="M8" s="1">
        <v>0</v>
      </c>
      <c r="N8" s="1">
        <v>0</v>
      </c>
      <c r="O8" s="1">
        <v>0.59199999999999997</v>
      </c>
      <c r="P8" s="1">
        <v>4.3540000000000001</v>
      </c>
      <c r="Q8" s="1">
        <f t="shared" si="1"/>
        <v>13.596692696371152</v>
      </c>
    </row>
    <row r="9" spans="1:17" ht="18.600000000000001" customHeight="1" x14ac:dyDescent="0.25">
      <c r="A9" s="13">
        <v>45108</v>
      </c>
      <c r="B9" s="2">
        <v>580</v>
      </c>
      <c r="C9" s="2">
        <v>749</v>
      </c>
      <c r="D9" s="2">
        <v>228</v>
      </c>
      <c r="E9" s="5">
        <v>24935</v>
      </c>
      <c r="F9" s="2">
        <v>9.4943600000000004</v>
      </c>
      <c r="G9" s="2">
        <v>16.065448</v>
      </c>
      <c r="H9" s="2">
        <f t="shared" si="0"/>
        <v>59.098009591764885</v>
      </c>
      <c r="I9" s="2"/>
      <c r="J9" s="2"/>
      <c r="K9" s="2">
        <v>0</v>
      </c>
      <c r="L9" s="2">
        <v>0.71199999999999997</v>
      </c>
      <c r="M9" s="2">
        <v>0</v>
      </c>
      <c r="N9" s="2">
        <v>0</v>
      </c>
      <c r="O9" s="2">
        <v>0.71199999999999997</v>
      </c>
      <c r="P9" s="2">
        <v>5.0266000000000002</v>
      </c>
      <c r="Q9" s="2">
        <f t="shared" si="1"/>
        <v>14.164644093422988</v>
      </c>
    </row>
    <row r="10" spans="1:17" ht="18.600000000000001" customHeight="1" x14ac:dyDescent="0.25">
      <c r="A10" s="12">
        <v>45139</v>
      </c>
      <c r="B10" s="1">
        <v>569</v>
      </c>
      <c r="C10" s="1">
        <v>736.79166666666697</v>
      </c>
      <c r="D10" s="1">
        <v>225</v>
      </c>
      <c r="E10" s="7">
        <v>23400</v>
      </c>
      <c r="F10" s="1">
        <v>9.21082</v>
      </c>
      <c r="G10" s="1">
        <v>15.814054</v>
      </c>
      <c r="H10" s="1">
        <f t="shared" si="0"/>
        <v>58.244520981147531</v>
      </c>
      <c r="I10" s="1"/>
      <c r="J10" s="1"/>
      <c r="K10" s="1">
        <v>0</v>
      </c>
      <c r="L10" s="1">
        <v>0.69080999999999992</v>
      </c>
      <c r="M10" s="1">
        <v>0</v>
      </c>
      <c r="N10" s="1">
        <v>0</v>
      </c>
      <c r="O10" s="1">
        <v>0.69080999999999992</v>
      </c>
      <c r="P10" s="1">
        <v>4.9585799999999995</v>
      </c>
      <c r="Q10" s="1">
        <f t="shared" si="1"/>
        <v>13.931609452706217</v>
      </c>
    </row>
    <row r="11" spans="1:17" ht="18.600000000000001" customHeight="1" x14ac:dyDescent="0.25">
      <c r="A11" s="13">
        <v>45170</v>
      </c>
      <c r="B11" s="2">
        <v>547</v>
      </c>
      <c r="C11" s="2">
        <v>714.84</v>
      </c>
      <c r="D11" s="2">
        <v>203.773</v>
      </c>
      <c r="E11" s="5">
        <v>24624</v>
      </c>
      <c r="F11" s="2">
        <v>9.6222600000000007</v>
      </c>
      <c r="G11" s="2">
        <v>13.344329999999999</v>
      </c>
      <c r="H11" s="2">
        <f t="shared" si="0"/>
        <v>72.107479356400816</v>
      </c>
      <c r="I11" s="2"/>
      <c r="J11" s="2"/>
      <c r="K11" s="2">
        <v>0</v>
      </c>
      <c r="L11" s="2">
        <v>0.72166999999999992</v>
      </c>
      <c r="M11" s="2">
        <v>0</v>
      </c>
      <c r="N11" s="2">
        <v>0</v>
      </c>
      <c r="O11" s="2">
        <v>0.72166999999999992</v>
      </c>
      <c r="P11" s="2">
        <v>4.1872299999999996</v>
      </c>
      <c r="Q11" s="2">
        <f t="shared" si="1"/>
        <v>17.235021720803488</v>
      </c>
    </row>
    <row r="12" spans="1:17" ht="18.600000000000001" customHeight="1" x14ac:dyDescent="0.25">
      <c r="A12" s="12">
        <v>45200</v>
      </c>
      <c r="B12" s="1">
        <v>429</v>
      </c>
      <c r="C12" s="1">
        <v>551.96</v>
      </c>
      <c r="D12" s="1">
        <v>153.839</v>
      </c>
      <c r="E12" s="7">
        <v>18700</v>
      </c>
      <c r="F12" s="1">
        <v>7.0419200000000002</v>
      </c>
      <c r="G12" s="1">
        <v>9.7236900000000013</v>
      </c>
      <c r="H12" s="1">
        <f t="shared" si="0"/>
        <v>72.42024375519992</v>
      </c>
      <c r="I12" s="1"/>
      <c r="J12" s="1"/>
      <c r="K12" s="1">
        <v>0</v>
      </c>
      <c r="L12" s="1">
        <v>0.52813999999999994</v>
      </c>
      <c r="M12" s="1">
        <v>0</v>
      </c>
      <c r="N12" s="1">
        <v>0</v>
      </c>
      <c r="O12" s="1">
        <v>0.52813999999999994</v>
      </c>
      <c r="P12" s="1">
        <v>3.0566</v>
      </c>
      <c r="Q12" s="1">
        <f t="shared" si="1"/>
        <v>17.27867565268599</v>
      </c>
    </row>
    <row r="13" spans="1:17" ht="18.600000000000001" customHeight="1" x14ac:dyDescent="0.25">
      <c r="A13" s="13">
        <v>45231</v>
      </c>
      <c r="B13" s="2">
        <v>133</v>
      </c>
      <c r="C13" s="2">
        <v>190.95</v>
      </c>
      <c r="D13" s="5">
        <v>44.47</v>
      </c>
      <c r="E13" s="5">
        <v>3831</v>
      </c>
      <c r="F13" s="2">
        <v>1.4530699999999999</v>
      </c>
      <c r="G13" s="2">
        <v>2.1389999999999998</v>
      </c>
      <c r="H13" s="2">
        <f t="shared" si="0"/>
        <v>67.932211313697991</v>
      </c>
      <c r="I13" s="2"/>
      <c r="J13" s="2"/>
      <c r="K13" s="2">
        <v>0</v>
      </c>
      <c r="L13" s="2">
        <v>0.10898000000000001</v>
      </c>
      <c r="M13" s="2">
        <v>0</v>
      </c>
      <c r="N13" s="2">
        <v>0</v>
      </c>
      <c r="O13" s="2">
        <v>0.10898000000000001</v>
      </c>
      <c r="P13" s="2">
        <v>0.67303999999999997</v>
      </c>
      <c r="Q13" s="2">
        <f t="shared" si="1"/>
        <v>16.192202543682399</v>
      </c>
    </row>
    <row r="14" spans="1:17" ht="18.600000000000001" customHeight="1" x14ac:dyDescent="0.25">
      <c r="A14" s="12">
        <v>45261</v>
      </c>
      <c r="B14" s="1">
        <v>46</v>
      </c>
      <c r="C14" s="1">
        <v>75.83</v>
      </c>
      <c r="D14" s="7">
        <v>13.7</v>
      </c>
      <c r="E14" s="7">
        <v>206</v>
      </c>
      <c r="F14" s="1">
        <v>6.166E-2</v>
      </c>
      <c r="G14" s="1">
        <v>0.247</v>
      </c>
      <c r="H14" s="1">
        <f t="shared" si="0"/>
        <v>24.963562753036435</v>
      </c>
      <c r="I14" s="1"/>
      <c r="J14" s="1"/>
      <c r="K14" s="1">
        <v>0</v>
      </c>
      <c r="L14" s="1">
        <v>4.62E-3</v>
      </c>
      <c r="M14" s="1">
        <v>0</v>
      </c>
      <c r="N14" s="1">
        <v>0</v>
      </c>
      <c r="O14" s="1">
        <v>4.62E-3</v>
      </c>
      <c r="P14" s="1">
        <v>8.233E-2</v>
      </c>
      <c r="Q14" s="1">
        <f t="shared" si="1"/>
        <v>5.6115632211830437</v>
      </c>
    </row>
    <row r="15" spans="1:17" ht="18.600000000000001" customHeight="1" x14ac:dyDescent="0.25">
      <c r="A15" s="13">
        <v>45292</v>
      </c>
      <c r="B15" s="5">
        <v>31</v>
      </c>
      <c r="C15" s="5">
        <v>44.25</v>
      </c>
      <c r="D15" s="5">
        <v>8.73</v>
      </c>
      <c r="E15" s="5">
        <v>84</v>
      </c>
      <c r="F15" s="2">
        <v>2.547E-2</v>
      </c>
      <c r="G15" s="2">
        <v>0.16592999999999999</v>
      </c>
      <c r="H15" s="2">
        <f t="shared" si="0"/>
        <v>15.349846320737662</v>
      </c>
      <c r="I15" s="6"/>
      <c r="J15" s="6"/>
      <c r="K15" s="6">
        <v>0</v>
      </c>
      <c r="L15" s="2">
        <v>1.91E-3</v>
      </c>
      <c r="M15" s="2">
        <v>0</v>
      </c>
      <c r="N15" s="2">
        <v>0</v>
      </c>
      <c r="O15" s="2">
        <v>1.91E-3</v>
      </c>
      <c r="P15" s="2">
        <v>5.2399999999999995E-2</v>
      </c>
      <c r="Q15" s="2">
        <f t="shared" si="1"/>
        <v>3.6450381679389321</v>
      </c>
    </row>
    <row r="16" spans="1:17" ht="18.600000000000001" customHeight="1" x14ac:dyDescent="0.25">
      <c r="A16" s="12">
        <v>45323</v>
      </c>
      <c r="B16" s="7">
        <v>83</v>
      </c>
      <c r="C16" s="7">
        <v>107.58</v>
      </c>
      <c r="D16" s="7">
        <v>16.52</v>
      </c>
      <c r="E16" s="7">
        <v>362</v>
      </c>
      <c r="F16" s="1">
        <v>0.11600000000000001</v>
      </c>
      <c r="G16" s="1">
        <v>0.46899999999999997</v>
      </c>
      <c r="H16" s="1">
        <f t="shared" si="0"/>
        <v>24.733475479744136</v>
      </c>
      <c r="I16" s="8"/>
      <c r="J16" s="8"/>
      <c r="K16" s="8">
        <v>0</v>
      </c>
      <c r="L16" s="1">
        <v>6.2599999999999999E-3</v>
      </c>
      <c r="M16" s="1">
        <v>0</v>
      </c>
      <c r="N16" s="1">
        <v>0</v>
      </c>
      <c r="O16" s="1">
        <v>6.2599999999999999E-3</v>
      </c>
      <c r="P16" s="1">
        <v>0.14806</v>
      </c>
      <c r="Q16" s="1">
        <f t="shared" si="1"/>
        <v>4.2280156693232467</v>
      </c>
    </row>
    <row r="17" spans="1:17" ht="18.600000000000001" customHeight="1" x14ac:dyDescent="0.25">
      <c r="A17" s="13">
        <v>45352</v>
      </c>
      <c r="B17" s="5">
        <v>137</v>
      </c>
      <c r="C17" s="5">
        <v>165.33333333333334</v>
      </c>
      <c r="D17" s="5">
        <v>32.722999999999999</v>
      </c>
      <c r="E17" s="5">
        <v>968</v>
      </c>
      <c r="F17" s="2">
        <v>0.24284800000000001</v>
      </c>
      <c r="G17" s="2">
        <v>0.62173699999999998</v>
      </c>
      <c r="H17" s="2">
        <f>F17/G17*100</f>
        <v>39.05960237206407</v>
      </c>
      <c r="I17" s="6"/>
      <c r="J17" s="6"/>
      <c r="K17" s="6">
        <v>0</v>
      </c>
      <c r="L17" s="2">
        <v>1.8213600000000003E-2</v>
      </c>
      <c r="M17" s="2">
        <v>0</v>
      </c>
      <c r="N17" s="2">
        <v>0</v>
      </c>
      <c r="O17" s="2">
        <v>1.8213600000000003E-2</v>
      </c>
      <c r="P17" s="2">
        <v>0.19633799999999998</v>
      </c>
      <c r="Q17" s="2">
        <f t="shared" si="1"/>
        <v>9.2766555633652192</v>
      </c>
    </row>
    <row r="18" spans="1:17" ht="18.600000000000001" customHeight="1" x14ac:dyDescent="0.25">
      <c r="A18" s="3" t="s">
        <v>22</v>
      </c>
      <c r="B18" s="9">
        <f>SUM(B6:B17)</f>
        <v>4009</v>
      </c>
      <c r="C18" s="9">
        <f t="shared" ref="C18:G18" si="2">SUM(C6:C17)</f>
        <v>5291.0349999999999</v>
      </c>
      <c r="D18" s="9">
        <f t="shared" si="2"/>
        <v>1505.7549999999999</v>
      </c>
      <c r="E18" s="9">
        <f t="shared" si="2"/>
        <v>155542</v>
      </c>
      <c r="F18" s="10">
        <f t="shared" si="2"/>
        <v>61.434008999999989</v>
      </c>
      <c r="G18" s="10">
        <f t="shared" si="2"/>
        <v>100.46755499999999</v>
      </c>
      <c r="H18" s="10">
        <f t="shared" ref="H18" si="3">F18/G18*100</f>
        <v>61.148107963809807</v>
      </c>
      <c r="I18" s="11">
        <f>SUM(I6:I17)</f>
        <v>0</v>
      </c>
      <c r="J18" s="11">
        <f t="shared" ref="J18:P18" si="4">SUM(J6:J17)</f>
        <v>0</v>
      </c>
      <c r="K18" s="11">
        <f t="shared" si="4"/>
        <v>0</v>
      </c>
      <c r="L18" s="10">
        <f t="shared" si="4"/>
        <v>4.5176986750000001</v>
      </c>
      <c r="M18" s="10">
        <f t="shared" si="4"/>
        <v>0</v>
      </c>
      <c r="N18" s="10">
        <f t="shared" si="4"/>
        <v>0</v>
      </c>
      <c r="O18" s="10">
        <f t="shared" si="4"/>
        <v>4.5176986750000001</v>
      </c>
      <c r="P18" s="10">
        <f t="shared" si="4"/>
        <v>30.974727999999999</v>
      </c>
      <c r="Q18" s="10">
        <f t="shared" ref="Q18" si="5">O18/P18*100</f>
        <v>14.585111691699119</v>
      </c>
    </row>
    <row r="19" spans="1:17" ht="18.600000000000001" customHeight="1" x14ac:dyDescent="0.25">
      <c r="A19" s="16" t="s">
        <v>21</v>
      </c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81" orientation="landscape" r:id="rId1"/>
  <ignoredErrors>
    <ignoredError sqref="H18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FLY BIG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Lenovo</cp:lastModifiedBy>
  <cp:lastPrinted>2022-04-26T05:17:29Z</cp:lastPrinted>
  <dcterms:created xsi:type="dcterms:W3CDTF">2020-06-03T10:38:50Z</dcterms:created>
  <dcterms:modified xsi:type="dcterms:W3CDTF">2025-01-24T06:47:51Z</dcterms:modified>
</cp:coreProperties>
</file>