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INDIGO\"/>
    </mc:Choice>
  </mc:AlternateContent>
  <bookViews>
    <workbookView xWindow="0" yWindow="0" windowWidth="24000" windowHeight="9735"/>
  </bookViews>
  <sheets>
    <sheet name="INDIGO" sheetId="5" r:id="rId1"/>
  </sheets>
  <definedNames>
    <definedName name="_xlnm._FilterDatabase" localSheetId="0" hidden="1">INDIGO!$A$6:$Q$20</definedName>
    <definedName name="_xlnm.Print_Titles" localSheetId="0">INDIGO!$1:$5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7" i="5" l="1"/>
  <c r="M17" i="5"/>
  <c r="N17" i="5"/>
  <c r="J17" i="5"/>
  <c r="K17" i="5"/>
  <c r="I17" i="5"/>
  <c r="Q17" i="5"/>
  <c r="P17" i="5"/>
  <c r="O17" i="5"/>
  <c r="H17" i="5"/>
  <c r="G17" i="5"/>
  <c r="F17" i="5"/>
  <c r="E17" i="5"/>
  <c r="D17" i="5"/>
  <c r="C17" i="5"/>
  <c r="B17" i="5"/>
  <c r="P18" i="5" l="1"/>
  <c r="O18" i="5"/>
  <c r="M18" i="5"/>
  <c r="L18" i="5"/>
  <c r="K18" i="5"/>
  <c r="I18" i="5"/>
  <c r="G18" i="5"/>
  <c r="F18" i="5"/>
  <c r="E18" i="5"/>
  <c r="D18" i="5"/>
  <c r="C18" i="5"/>
  <c r="B18" i="5"/>
  <c r="H15" i="5" l="1"/>
  <c r="H14" i="5"/>
  <c r="H13" i="5"/>
  <c r="H12" i="5"/>
  <c r="H11" i="5"/>
  <c r="H10" i="5"/>
  <c r="H9" i="5"/>
  <c r="H8" i="5"/>
  <c r="H7" i="5"/>
  <c r="H6" i="5"/>
  <c r="H18" i="5" s="1"/>
  <c r="Q15" i="5" l="1"/>
  <c r="Q14" i="5"/>
  <c r="Q12" i="5"/>
  <c r="Q11" i="5"/>
  <c r="Q10" i="5"/>
  <c r="Q9" i="5"/>
  <c r="Q8" i="5"/>
  <c r="Q7" i="5"/>
  <c r="Q6" i="5"/>
  <c r="Q18" i="5" s="1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<sst xmlns="http://schemas.openxmlformats.org/spreadsheetml/2006/main" count="40" uniqueCount="38">
  <si>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</si>
  <si>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</si>
  <si>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</si>
  <si>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</si>
  <si>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</si>
  <si>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</si>
  <si>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</si>
  <si>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</si>
  <si>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</si>
  <si>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</si>
  <si>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</si>
  <si>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</si>
  <si>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</si>
  <si>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</si>
  <si>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</si>
  <si>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</si>
  <si>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</si>
  <si>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</si>
  <si>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</si>
  <si>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</si>
  <si>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</si>
  <si>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</si>
  <si>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</si>
  <si>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</si>
  <si>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2018-19</t>
  </si>
  <si>
    <t>TABLE - 1.06 (INDIGO)</t>
  </si>
  <si>
    <t>SOURCE: ICAO ATR FORM 'A' FURNISHED BY INDIGO</t>
  </si>
  <si>
    <t xml:space="preserve"> तालिका- 1.06 (इंडिगो) </t>
  </si>
  <si>
    <t>2019-20</t>
  </si>
  <si>
    <t>YEAR ON YEAR GROWTH AND CAGR FOR LAST TEN YEARS OF INDIGO ON TOTAL (DOMESTIC + INTERNATIONAL) SCHEDULED SERVICES (ALL AIR TRAFFIC AND OPERATING STATISTICS)</t>
  </si>
  <si>
    <t>2020-21*</t>
  </si>
  <si>
    <t>* DENOTES that THE INTERNATIONAL OPERATIONS BY SCHEDULED INDIAN OPERATORS WERE CARRIED AS PER DGCA’S CIRCULAR DATED 26.03.2020 UNDER COVID-19 RESTRICTION.</t>
  </si>
  <si>
    <t>2022-23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</si>
  <si>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</si>
  <si>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</si>
  <si>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</si>
  <si>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</si>
  <si>
    <t>2021-22*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</si>
</sst>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%"/>
    <numFmt numFmtId="165" formatCode="_(* #,##0_);_(* \(#,##0\);_(* &quot;-&quot;??_);_(@_)"/>
    <numFmt numFmtId="166" formatCode="_(* #,##0.0_);_(* \(#,##0.0\);_(* &quot;-&quot;??_);_(@_)"/>
    <numFmt numFmtId="167" formatCode="[$-1010409]mmmm/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</cellStyleXfs>
  <cellXfs count="27">
    <xf numFmtId="0" fontId="0" fillId="0" borderId="0" xfId="0"/>
    <xf numFmtId="0" fontId="4" fillId="4" borderId="1" xfId="3" applyBorder="1" applyAlignment="1" applyProtection="1">
      <alignment horizontal="center" vertical="center" wrapText="1"/>
    </xf>
    <xf numFmtId="164" fontId="6" fillId="6" borderId="1" xfId="1" applyNumberFormat="1" applyFont="1" applyFill="1" applyBorder="1" applyAlignment="1" applyProtection="1">
      <alignment horizontal="center" vertical="center" wrapText="1"/>
    </xf>
    <xf numFmtId="164" fontId="4" fillId="4" borderId="1" xfId="3" applyNumberFormat="1" applyBorder="1" applyAlignment="1" applyProtection="1">
      <alignment horizontal="right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167" fontId="4" fillId="5" borderId="1" xfId="4" applyNumberFormat="1" applyBorder="1" applyAlignment="1" applyProtection="1">
      <alignment horizontal="center" vertical="center" wrapText="1"/>
    </xf>
    <xf numFmtId="165" fontId="4" fillId="5" borderId="1" xfId="4" applyNumberFormat="1" applyBorder="1" applyAlignment="1">
      <alignment horizontal="right" vertical="center"/>
    </xf>
    <xf numFmtId="166" fontId="4" fillId="5" borderId="1" xfId="4" applyNumberFormat="1" applyBorder="1" applyAlignment="1">
      <alignment horizontal="right" vertical="center"/>
    </xf>
    <xf numFmtId="167" fontId="4" fillId="7" borderId="1" xfId="4" applyNumberFormat="1" applyFill="1" applyBorder="1" applyAlignment="1" applyProtection="1">
      <alignment horizontal="center" vertical="center" wrapText="1"/>
    </xf>
    <xf numFmtId="165" fontId="4" fillId="7" borderId="1" xfId="4" applyNumberFormat="1" applyFill="1" applyBorder="1" applyAlignment="1">
      <alignment horizontal="right" vertical="center"/>
    </xf>
    <xf numFmtId="166" fontId="4" fillId="7" borderId="1" xfId="4" applyNumberFormat="1" applyFill="1" applyBorder="1" applyAlignment="1">
      <alignment horizontal="right" vertical="center"/>
    </xf>
    <xf numFmtId="167" fontId="0" fillId="7" borderId="1" xfId="4" applyNumberFormat="1" applyFont="1" applyFill="1" applyBorder="1" applyAlignment="1" applyProtection="1">
      <alignment horizontal="center" vertical="center" wrapText="1"/>
    </xf>
    <xf numFmtId="164" fontId="6" fillId="6" borderId="1" xfId="1" applyNumberFormat="1" applyFont="1" applyFill="1" applyBorder="1" applyAlignment="1" applyProtection="1">
      <alignment horizontal="right" vertical="center" wrapText="1"/>
    </xf>
    <xf numFmtId="167" fontId="0" fillId="5" borderId="1" xfId="4" applyNumberFormat="1" applyFont="1" applyBorder="1" applyAlignment="1" applyProtection="1">
      <alignment horizontal="center" vertical="center" wrapText="1"/>
    </xf>
    <xf numFmtId="10" fontId="4" fillId="7" borderId="1" xfId="4" applyNumberFormat="1" applyFill="1" applyBorder="1" applyAlignment="1">
      <alignment horizontal="right" vertical="center"/>
    </xf>
    <xf numFmtId="0" fontId="1" fillId="0" borderId="1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</cellXfs>
  <cellStyles count="5">
    <cellStyle name="20% - Accent1" xfId="3" builtinId="30"/>
    <cellStyle name="40% - Accent1" xfId="4" builtinId="31"/>
    <cellStyle name="Accent1" xfId="2" builtinId="29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view="pageBreakPreview" topLeftCell="A4" zoomScaleNormal="100" zoomScaleSheetLayoutView="100" workbookViewId="0">
      <selection activeCell="N15" sqref="N15"/>
    </sheetView>
  </sheetViews>
  <sheetFormatPr defaultRowHeight="15" x14ac:dyDescent="0.25"/>
  <cols>
    <col min="1" max="1" width="11.85546875" customWidth="1"/>
    <col min="2" max="2" width="9.28515625" customWidth="1"/>
    <col min="3" max="3" width="11.42578125" customWidth="1"/>
    <col min="4" max="4" width="9.85546875" customWidth="1"/>
    <col min="5" max="5" width="14" customWidth="1"/>
    <col min="6" max="6" width="9.85546875" customWidth="1"/>
    <col min="7" max="7" width="10" customWidth="1"/>
    <col min="8" max="8" width="11" customWidth="1"/>
    <col min="9" max="9" width="13.28515625" customWidth="1"/>
    <col min="10" max="10" width="10.42578125" customWidth="1"/>
    <col min="11" max="11" width="12.140625" customWidth="1"/>
    <col min="12" max="12" width="10.85546875" customWidth="1"/>
    <col min="13" max="13" width="8.5703125" customWidth="1"/>
    <col min="14" max="14" width="8" customWidth="1"/>
    <col min="15" max="15" width="10.28515625" customWidth="1"/>
    <col min="16" max="16" width="9.85546875" customWidth="1"/>
    <col min="17" max="17" width="7.140625" customWidth="1"/>
  </cols>
  <sheetData>
    <row r="1" spans="1:17" x14ac:dyDescent="0.25">
      <c r="A1" s="22" t="s">
        <v>27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x14ac:dyDescent="0.25">
      <c r="A2" s="23" t="s">
        <v>25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x14ac:dyDescent="0.25">
      <c r="A3" s="25" t="s">
        <v>29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</row>
    <row r="4" spans="1:17" x14ac:dyDescent="0.25">
      <c r="A4" s="25" t="s">
        <v>0</v>
      </c>
      <c r="B4" s="25" t="s">
        <v>1</v>
      </c>
      <c r="C4" s="25"/>
      <c r="D4" s="25"/>
      <c r="E4" s="25" t="s">
        <v>2</v>
      </c>
      <c r="F4" s="26"/>
      <c r="G4" s="18" t="s">
        <v>3</v>
      </c>
      <c r="H4" s="18" t="s">
        <v>4</v>
      </c>
      <c r="I4" s="25" t="s">
        <v>5</v>
      </c>
      <c r="J4" s="25"/>
      <c r="K4" s="25"/>
      <c r="L4" s="25" t="s">
        <v>6</v>
      </c>
      <c r="M4" s="25"/>
      <c r="N4" s="25"/>
      <c r="O4" s="25"/>
      <c r="P4" s="18" t="s">
        <v>7</v>
      </c>
      <c r="Q4" s="18" t="s">
        <v>8</v>
      </c>
    </row>
    <row r="5" spans="1:17" ht="122.25" customHeight="1" x14ac:dyDescent="0.25">
      <c r="A5" s="25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19"/>
      <c r="H5" s="19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19"/>
      <c r="Q5" s="19"/>
    </row>
    <row r="6" spans="1:17" ht="17.100000000000001" customHeight="1" x14ac:dyDescent="0.25">
      <c r="A6" s="5" t="s">
        <v>19</v>
      </c>
      <c r="B6" s="6">
        <v>131237</v>
      </c>
      <c r="C6" s="6">
        <v>246142.59000000003</v>
      </c>
      <c r="D6" s="6">
        <v>138813</v>
      </c>
      <c r="E6" s="6">
        <v>16887969</v>
      </c>
      <c r="F6" s="6">
        <v>20259.741999999998</v>
      </c>
      <c r="G6" s="6">
        <v>24976.714</v>
      </c>
      <c r="H6" s="7">
        <f t="shared" ref="H6:H15" si="0">F6/G6*100</f>
        <v>81.11452130972873</v>
      </c>
      <c r="I6" s="7">
        <v>80968</v>
      </c>
      <c r="J6" s="7">
        <v>0</v>
      </c>
      <c r="K6" s="7">
        <v>80968</v>
      </c>
      <c r="L6" s="7">
        <v>1814.1919999999998</v>
      </c>
      <c r="M6" s="7">
        <v>114.797</v>
      </c>
      <c r="N6" s="7">
        <v>0</v>
      </c>
      <c r="O6" s="7">
        <v>1928.989</v>
      </c>
      <c r="P6" s="7">
        <v>2526.38</v>
      </c>
      <c r="Q6" s="7">
        <f t="shared" ref="Q6" si="1">O6/P6*100</f>
        <v>76.353873922371136</v>
      </c>
    </row>
    <row r="7" spans="1:17" ht="17.100000000000001" customHeight="1" x14ac:dyDescent="0.25">
      <c r="A7" s="8" t="s">
        <v>20</v>
      </c>
      <c r="B7" s="9">
        <v>158488</v>
      </c>
      <c r="C7" s="9">
        <v>297651.5</v>
      </c>
      <c r="D7" s="9">
        <v>166490</v>
      </c>
      <c r="E7" s="9">
        <v>19568603</v>
      </c>
      <c r="F7" s="9">
        <v>23135.406999999996</v>
      </c>
      <c r="G7" s="9">
        <v>29967.617000000006</v>
      </c>
      <c r="H7" s="10">
        <f t="shared" si="0"/>
        <v>77.20135705151327</v>
      </c>
      <c r="I7" s="10">
        <v>106638</v>
      </c>
      <c r="J7" s="10">
        <v>0</v>
      </c>
      <c r="K7" s="10">
        <v>106638</v>
      </c>
      <c r="L7" s="10">
        <v>2074.2500000000005</v>
      </c>
      <c r="M7" s="10">
        <v>131.048</v>
      </c>
      <c r="N7" s="10">
        <v>0</v>
      </c>
      <c r="O7" s="10">
        <v>2205.2979999999998</v>
      </c>
      <c r="P7" s="10">
        <v>3030.1060000000002</v>
      </c>
      <c r="Q7" s="10">
        <f t="shared" ref="Q7" si="2">O7/P7*100</f>
        <v>72.7795661273896</v>
      </c>
    </row>
    <row r="8" spans="1:17" ht="17.100000000000001" customHeight="1" x14ac:dyDescent="0.25">
      <c r="A8" s="5" t="s">
        <v>21</v>
      </c>
      <c r="B8" s="6">
        <v>192920</v>
      </c>
      <c r="C8" s="6">
        <v>354277.05</v>
      </c>
      <c r="D8" s="6">
        <v>196267</v>
      </c>
      <c r="E8" s="6">
        <v>25180370</v>
      </c>
      <c r="F8" s="6">
        <v>28177.470999999998</v>
      </c>
      <c r="G8" s="6">
        <v>35326.855000000003</v>
      </c>
      <c r="H8" s="7">
        <f t="shared" si="0"/>
        <v>79.762183755106406</v>
      </c>
      <c r="I8" s="7">
        <v>129532</v>
      </c>
      <c r="J8" s="7">
        <v>8111</v>
      </c>
      <c r="K8" s="7">
        <v>137643</v>
      </c>
      <c r="L8" s="7">
        <v>2532.9900000000002</v>
      </c>
      <c r="M8" s="7">
        <v>172.17299999999997</v>
      </c>
      <c r="N8" s="7">
        <v>9.532</v>
      </c>
      <c r="O8" s="7">
        <v>2714.6950000000002</v>
      </c>
      <c r="P8" s="7">
        <v>3572.0729999999999</v>
      </c>
      <c r="Q8" s="7">
        <f t="shared" ref="Q8" si="3">O8/P8*100</f>
        <v>75.997746966537363</v>
      </c>
    </row>
    <row r="9" spans="1:17" ht="17.100000000000001" customHeight="1" x14ac:dyDescent="0.25">
      <c r="A9" s="8" t="s">
        <v>22</v>
      </c>
      <c r="B9" s="9">
        <v>236385</v>
      </c>
      <c r="C9" s="9">
        <v>436742.0199999999</v>
      </c>
      <c r="D9" s="9">
        <v>238025</v>
      </c>
      <c r="E9" s="9">
        <v>33103686</v>
      </c>
      <c r="F9" s="9">
        <v>35968.266000000003</v>
      </c>
      <c r="G9" s="9">
        <v>42825.674000000006</v>
      </c>
      <c r="H9" s="10">
        <f t="shared" si="0"/>
        <v>83.987623872539629</v>
      </c>
      <c r="I9" s="10">
        <v>138311.22090000001</v>
      </c>
      <c r="J9" s="10">
        <v>11899.743924999999</v>
      </c>
      <c r="K9" s="10">
        <v>150210.964825</v>
      </c>
      <c r="L9" s="10">
        <v>3236.9179999999992</v>
      </c>
      <c r="M9" s="10">
        <v>183.85900000000001</v>
      </c>
      <c r="N9" s="10">
        <v>14.86</v>
      </c>
      <c r="O9" s="10">
        <v>3435.6370000000002</v>
      </c>
      <c r="P9" s="10">
        <v>4595.0999999999995</v>
      </c>
      <c r="Q9" s="10">
        <f t="shared" ref="Q9" si="4">O9/P9*100</f>
        <v>74.767404409044431</v>
      </c>
    </row>
    <row r="10" spans="1:17" ht="17.100000000000001" customHeight="1" x14ac:dyDescent="0.25">
      <c r="A10" s="5" t="s">
        <v>23</v>
      </c>
      <c r="B10" s="6">
        <v>300526</v>
      </c>
      <c r="C10" s="6">
        <v>558566.74769999995</v>
      </c>
      <c r="D10" s="6">
        <v>303494.57400000002</v>
      </c>
      <c r="E10" s="6">
        <v>43531952</v>
      </c>
      <c r="F10" s="6">
        <v>46288.306999999993</v>
      </c>
      <c r="G10" s="6">
        <v>54582.542000000009</v>
      </c>
      <c r="H10" s="7">
        <f t="shared" si="0"/>
        <v>84.804234658034034</v>
      </c>
      <c r="I10" s="7">
        <v>163177</v>
      </c>
      <c r="J10" s="7">
        <v>14204</v>
      </c>
      <c r="K10" s="7">
        <v>177381</v>
      </c>
      <c r="L10" s="7">
        <v>4166.0859859999991</v>
      </c>
      <c r="M10" s="7">
        <v>215.91493699999998</v>
      </c>
      <c r="N10" s="7">
        <v>15.645637000000001</v>
      </c>
      <c r="O10" s="7">
        <v>4397.6465600000001</v>
      </c>
      <c r="P10" s="7">
        <v>5935.1954999999998</v>
      </c>
      <c r="Q10" s="7">
        <f t="shared" ref="Q10" si="5">O10/P10*100</f>
        <v>74.094384254065432</v>
      </c>
    </row>
    <row r="11" spans="1:17" ht="17.100000000000001" customHeight="1" x14ac:dyDescent="0.25">
      <c r="A11" s="8" t="s">
        <v>24</v>
      </c>
      <c r="B11" s="9">
        <v>347640</v>
      </c>
      <c r="C11" s="9">
        <v>654040.32053000003</v>
      </c>
      <c r="D11" s="9">
        <v>353803.94799999997</v>
      </c>
      <c r="E11" s="9">
        <v>52141844</v>
      </c>
      <c r="F11" s="9">
        <v>55523.815000000002</v>
      </c>
      <c r="G11" s="9">
        <v>63510.063999999998</v>
      </c>
      <c r="H11" s="10">
        <f t="shared" si="0"/>
        <v>87.425222874913189</v>
      </c>
      <c r="I11" s="10">
        <v>192467.33000000002</v>
      </c>
      <c r="J11" s="10">
        <v>15237.461000000001</v>
      </c>
      <c r="K11" s="10">
        <v>207704.79100000003</v>
      </c>
      <c r="L11" s="10">
        <v>4997.0683200000003</v>
      </c>
      <c r="M11" s="10">
        <v>261.02578999999997</v>
      </c>
      <c r="N11" s="10">
        <v>16.439810000000001</v>
      </c>
      <c r="O11" s="10">
        <v>5274.5339199999999</v>
      </c>
      <c r="P11" s="10">
        <v>6890.4937499999996</v>
      </c>
      <c r="Q11" s="10">
        <f t="shared" ref="Q11" si="6">O11/P11*100</f>
        <v>76.547982065871551</v>
      </c>
    </row>
    <row r="12" spans="1:17" ht="17.100000000000001" customHeight="1" x14ac:dyDescent="0.25">
      <c r="A12" s="5" t="s">
        <v>28</v>
      </c>
      <c r="B12" s="6">
        <v>448904</v>
      </c>
      <c r="C12" s="6">
        <v>853552.33082999999</v>
      </c>
      <c r="D12" s="6">
        <v>456346.02600000001</v>
      </c>
      <c r="E12" s="6">
        <v>64742944</v>
      </c>
      <c r="F12" s="6">
        <v>69811.416639000003</v>
      </c>
      <c r="G12" s="6">
        <v>81028.372488000008</v>
      </c>
      <c r="H12" s="7">
        <f t="shared" si="0"/>
        <v>86.156755338185775</v>
      </c>
      <c r="I12" s="7">
        <v>188184.70794999998</v>
      </c>
      <c r="J12" s="7">
        <v>21163.398409999998</v>
      </c>
      <c r="K12" s="7">
        <v>209348.10635999998</v>
      </c>
      <c r="L12" s="7">
        <v>6282.6052389999995</v>
      </c>
      <c r="M12" s="7">
        <v>257.76510559999997</v>
      </c>
      <c r="N12" s="7">
        <v>21.825904699999999</v>
      </c>
      <c r="O12" s="7">
        <v>6562.1962493000001</v>
      </c>
      <c r="P12" s="7">
        <v>8959.9306053</v>
      </c>
      <c r="Q12" s="7">
        <f t="shared" ref="Q12" si="7">O12/P12*100</f>
        <v>73.239364660015497</v>
      </c>
    </row>
    <row r="13" spans="1:17" ht="17.100000000000001" customHeight="1" x14ac:dyDescent="0.25">
      <c r="A13" s="8" t="s">
        <v>30</v>
      </c>
      <c r="B13" s="9">
        <v>522853</v>
      </c>
      <c r="C13" s="9">
        <v>1022515.0666666669</v>
      </c>
      <c r="D13" s="9">
        <v>541959.89</v>
      </c>
      <c r="E13" s="9">
        <v>75025960</v>
      </c>
      <c r="F13" s="9">
        <v>82539.861999999994</v>
      </c>
      <c r="G13" s="9">
        <v>96240.127770000006</v>
      </c>
      <c r="H13" s="10">
        <f t="shared" si="0"/>
        <v>85.764497525666556</v>
      </c>
      <c r="I13" s="10">
        <v>277755.22700000001</v>
      </c>
      <c r="J13" s="10">
        <v>17195.877</v>
      </c>
      <c r="K13" s="10">
        <v>294951.10399999999</v>
      </c>
      <c r="L13" s="10">
        <v>7426.6327578799992</v>
      </c>
      <c r="M13" s="10">
        <v>372.29959941800007</v>
      </c>
      <c r="N13" s="10">
        <v>17.485200212999999</v>
      </c>
      <c r="O13" s="10">
        <v>7816.4175575110012</v>
      </c>
      <c r="P13" s="10">
        <v>10701.684850296004</v>
      </c>
      <c r="Q13" s="10">
        <v>73.039130443976802</v>
      </c>
    </row>
    <row r="14" spans="1:17" x14ac:dyDescent="0.25">
      <c r="A14" s="13" t="s">
        <v>37</v>
      </c>
      <c r="B14" s="6">
        <v>401359</v>
      </c>
      <c r="C14" s="6">
        <v>736644.53138888883</v>
      </c>
      <c r="D14" s="6">
        <v>389336.46099999995</v>
      </c>
      <c r="E14" s="6">
        <v>49758735</v>
      </c>
      <c r="F14" s="6">
        <v>51709.023000000001</v>
      </c>
      <c r="G14" s="6">
        <v>70306.205000000002</v>
      </c>
      <c r="H14" s="7">
        <f t="shared" si="0"/>
        <v>73.548306298142535</v>
      </c>
      <c r="I14" s="7">
        <v>253097.36122000002</v>
      </c>
      <c r="J14" s="7">
        <v>20504.214250000001</v>
      </c>
      <c r="K14" s="7">
        <v>273601.57547000004</v>
      </c>
      <c r="L14" s="7">
        <v>4653.9769867769983</v>
      </c>
      <c r="M14" s="7">
        <v>326.69415883575999</v>
      </c>
      <c r="N14" s="7">
        <v>19.189513509650002</v>
      </c>
      <c r="O14" s="7">
        <v>4999.8606591224088</v>
      </c>
      <c r="P14" s="7">
        <v>8268.6581572380001</v>
      </c>
      <c r="Q14" s="7">
        <f t="shared" ref="Q14" si="8">O14/P14*100</f>
        <v>60.467618373432963</v>
      </c>
    </row>
    <row r="15" spans="1:17" x14ac:dyDescent="0.25">
      <c r="A15" s="8" t="s">
        <v>32</v>
      </c>
      <c r="B15" s="9">
        <v>594812</v>
      </c>
      <c r="C15" s="9">
        <v>1134826.9166666665</v>
      </c>
      <c r="D15" s="9">
        <v>604608.75900000008</v>
      </c>
      <c r="E15" s="9">
        <v>85265383</v>
      </c>
      <c r="F15" s="9">
        <v>93639.20600000002</v>
      </c>
      <c r="G15" s="9">
        <v>114062.49400000001</v>
      </c>
      <c r="H15" s="10">
        <f t="shared" si="0"/>
        <v>82.09465067456793</v>
      </c>
      <c r="I15" s="10">
        <v>273742.44876</v>
      </c>
      <c r="J15" s="10">
        <v>24282.385119999995</v>
      </c>
      <c r="K15" s="10">
        <v>298024.83387999999</v>
      </c>
      <c r="L15" s="10">
        <v>8418.9129113300005</v>
      </c>
      <c r="M15" s="10">
        <v>368.83963055487988</v>
      </c>
      <c r="N15" s="10">
        <v>22.409168769500003</v>
      </c>
      <c r="O15" s="10">
        <v>8810.1617106543799</v>
      </c>
      <c r="P15" s="10">
        <v>12802.751361492004</v>
      </c>
      <c r="Q15" s="10">
        <f t="shared" ref="Q15" si="9">O15/P15*100</f>
        <v>68.814596658914283</v>
      </c>
    </row>
    <row r="16" spans="1:17" x14ac:dyDescent="0.25">
      <c r="A16" s="5" t="s">
        <v>33</v>
      </c>
      <c r="B16" s="6">
        <v>694745</v>
      </c>
      <c r="C16" s="6">
        <v>1349008</v>
      </c>
      <c r="D16" s="6">
        <v>719781.43</v>
      </c>
      <c r="E16" s="6">
        <v>106402783</v>
      </c>
      <c r="F16" s="6">
        <v>119502.04100000001</v>
      </c>
      <c r="G16" s="6">
        <v>139052.67800000001</v>
      </c>
      <c r="H16" s="7">
        <v>85.940121915523264</v>
      </c>
      <c r="I16" s="7">
        <v>318636.16000000003</v>
      </c>
      <c r="J16" s="7">
        <v>28857.630999999998</v>
      </c>
      <c r="K16" s="7">
        <v>347493.79100000008</v>
      </c>
      <c r="L16" s="7">
        <v>10758.27491532</v>
      </c>
      <c r="M16" s="7">
        <v>555.20851499999992</v>
      </c>
      <c r="N16" s="7">
        <v>34.427914999999999</v>
      </c>
      <c r="O16" s="7">
        <v>11347.911345320001</v>
      </c>
      <c r="P16" s="7">
        <v>15281.47980614</v>
      </c>
      <c r="Q16" s="7">
        <v>74.259243798892328</v>
      </c>
    </row>
    <row r="17" spans="1:17" x14ac:dyDescent="0.25">
      <c r="A17" s="11" t="s">
        <v>34</v>
      </c>
      <c r="B17" s="14">
        <f t="shared" ref="B17:N17" si="10">(B16-B15)/B15</f>
        <v>0.16800770663671882</v>
      </c>
      <c r="C17" s="14">
        <f t="shared" si="10"/>
        <v>0.18873458162452542</v>
      </c>
      <c r="D17" s="14">
        <f t="shared" si="10"/>
        <v>0.1904912379875065</v>
      </c>
      <c r="E17" s="14">
        <f t="shared" si="10"/>
        <v>0.24790130831875815</v>
      </c>
      <c r="F17" s="14">
        <f t="shared" si="10"/>
        <v>0.27619664993742032</v>
      </c>
      <c r="G17" s="14">
        <f t="shared" si="10"/>
        <v>0.21909203563443044</v>
      </c>
      <c r="H17" s="14">
        <f t="shared" si="10"/>
        <v>4.6841922212437416E-2</v>
      </c>
      <c r="I17" s="14">
        <f t="shared" si="10"/>
        <v>0.16399981604372946</v>
      </c>
      <c r="J17" s="14">
        <f t="shared" si="10"/>
        <v>0.1884183064138801</v>
      </c>
      <c r="K17" s="14">
        <f t="shared" si="10"/>
        <v>0.16598937905932637</v>
      </c>
      <c r="L17" s="14">
        <f t="shared" si="10"/>
        <v>0.27786984241655882</v>
      </c>
      <c r="M17" s="14">
        <f t="shared" si="10"/>
        <v>0.50528432686245761</v>
      </c>
      <c r="N17" s="14">
        <f t="shared" si="10"/>
        <v>0.53633163970178621</v>
      </c>
      <c r="O17" s="14">
        <f>(O16-O15)/O15</f>
        <v>0.28804801977660044</v>
      </c>
      <c r="P17" s="14">
        <f>(P16-P15)/P15</f>
        <v>0.19360904345166707</v>
      </c>
      <c r="Q17" s="14">
        <f>(Q16-Q15)/Q15</f>
        <v>7.9120526811556083E-2</v>
      </c>
    </row>
    <row r="18" spans="1:17" ht="30" x14ac:dyDescent="0.25">
      <c r="A18" s="1" t="s">
        <v>35</v>
      </c>
      <c r="B18" s="3">
        <f t="shared" ref="B18:I18" si="11">(((B16/B6)^(1/10))-1)</f>
        <v>0.1813454517572326</v>
      </c>
      <c r="C18" s="3">
        <f t="shared" si="11"/>
        <v>0.18544873050033517</v>
      </c>
      <c r="D18" s="3">
        <f t="shared" si="11"/>
        <v>0.17890022277562578</v>
      </c>
      <c r="E18" s="3">
        <f t="shared" si="11"/>
        <v>0.20209158345159151</v>
      </c>
      <c r="F18" s="3">
        <f t="shared" si="11"/>
        <v>0.19419195531417066</v>
      </c>
      <c r="G18" s="3">
        <f t="shared" si="11"/>
        <v>0.18731076554121673</v>
      </c>
      <c r="H18" s="12">
        <f t="shared" si="11"/>
        <v>5.7956096859084205E-3</v>
      </c>
      <c r="I18" s="3">
        <f t="shared" si="11"/>
        <v>0.1468276751897124</v>
      </c>
      <c r="J18" s="3"/>
      <c r="K18" s="3">
        <f>(((K16/K6)^(1/10))-1)</f>
        <v>0.15681354136131542</v>
      </c>
      <c r="L18" s="3">
        <f>(((L16/L6)^(1/10))-1)</f>
        <v>0.1948295065352359</v>
      </c>
      <c r="M18" s="3">
        <f>(((M16/M6)^(1/10))-1)</f>
        <v>0.17071870673148837</v>
      </c>
      <c r="N18" s="3"/>
      <c r="O18" s="3">
        <f>(((O16/O6)^(1/10))-1)</f>
        <v>0.19387434090429112</v>
      </c>
      <c r="P18" s="3">
        <f>(((P16/P6)^(1/10))-1)</f>
        <v>0.1971999050562363</v>
      </c>
      <c r="Q18" s="2">
        <f>(((Q16/Q6)^(1/10))-1)</f>
        <v>-2.7777851784820395E-3</v>
      </c>
    </row>
    <row r="19" spans="1:17" x14ac:dyDescent="0.25">
      <c r="A19" s="20" t="s">
        <v>26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 ht="15" customHeight="1" x14ac:dyDescent="0.25">
      <c r="A20" s="16" t="s">
        <v>36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</row>
    <row r="21" spans="1:17" ht="14.25" customHeight="1" x14ac:dyDescent="0.25">
      <c r="A21" s="15" t="s">
        <v>31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21:Q21"/>
    <mergeCell ref="A20:Q20"/>
    <mergeCell ref="P4:P5"/>
    <mergeCell ref="Q4:Q5"/>
    <mergeCell ref="A19:Q19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INDIGO</vt:lpstr>
      <vt:lpstr>INDIGO!Print_Titles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2023-11-09T10:19:20Z</cp:lastPrinted>
  <dcterms:created xsi:type="dcterms:W3CDTF">2018-10-29T04:00:16Z</dcterms:created>
  <dcterms:modified xsi:type="dcterms:W3CDTF">2025-01-24T09:25:31Z</dcterms:modified>
</cp:coreProperties>
</file>