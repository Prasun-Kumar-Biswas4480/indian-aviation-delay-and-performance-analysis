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Draft Annual Report 2024-25\01 Airline Wise Air Transport Operating and Traffic Statistics\STAR AIR\"/>
    </mc:Choice>
  </mc:AlternateContent>
  <bookViews>
    <workbookView xWindow="0" yWindow="0" windowWidth="11970" windowHeight="9495"/>
  </bookViews>
  <sheets>
    <sheet name="STAR AIR" sheetId="1" r:id="rId1"/>
  </sheets>
  <definedNames>
    <definedName name="_xlnm.Print_Area" localSheetId="0">'STAR AIR'!$A$1:$Q$21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7" i="1" l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B18" i="1"/>
  <c r="B17" i="1"/>
</calcChain>
</file>

<file path=xl/sharedStrings.xml><?xml version="1.0" encoding="utf-8"?>
<sst xmlns="http://schemas.openxmlformats.org/spreadsheetml/2006/main" count="40" uniqueCount="38">
  <si>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</si>
  <si>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</si>
  <si>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</si>
  <si>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</si>
  <si>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</si>
  <si>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</si>
  <si>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</si>
  <si>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</si>
  <si>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</si>
  <si>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</si>
  <si>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</si>
  <si>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</si>
  <si>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</si>
  <si>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</si>
  <si>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</si>
  <si>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</si>
  <si>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</si>
  <si>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</si>
  <si>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</si>
  <si>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2014-15</t>
  </si>
  <si>
    <t>2015-16</t>
  </si>
  <si>
    <t>2016-17</t>
  </si>
  <si>
    <t>2017-18</t>
  </si>
  <si>
    <t>2018-19</t>
  </si>
  <si>
    <t xml:space="preserve"> तालिका- 1.06 (स्टार एयर))</t>
  </si>
  <si>
    <t>TABLE - 1.06 (STAR AIR)</t>
  </si>
  <si>
    <t>SOURCE: ICAO ATR FORM 'A' FURNISHED BY STAR AIR</t>
  </si>
  <si>
    <t>2019-20</t>
  </si>
  <si>
    <t xml:space="preserve">YEAR ON YEAR GROWTH AND CAGR FOR LAST TEN YEARS OF STAR AIR ON TOTAL (DOMESTIC + INTERNATIONAL) SCHEDULED SERVICES (ALL AIR TRAFFIC AND OPERATING STATISTICS) </t>
  </si>
  <si>
    <t>* DENOTES that THE INTERNATIONAL OPERATIONS BY SCHEDULED INDIAN OPERATORS WERE CARRIED AS PER DGCA’S CIRCULAR DATED 26.03.2020 UNDER COVID-19 RESTRICTION.</t>
  </si>
  <si>
    <t>2021-22</t>
  </si>
  <si>
    <t>2022-23</t>
  </si>
  <si>
    <t>2020-21*</t>
  </si>
  <si>
    <t>2023-24</t>
  </si>
  <si>
    <t>YOY growth</t>
  </si>
  <si>
    <t>CAGR last 10 years</t>
  </si>
  <si>
    <t>2024-25</t>
  </si>
  <si>
    <t>Note: Growth has been calculated with respect to preceeding year while Compound Annual Growth Rate (CAGR) has been calculating taking 2014-15 as a Base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</si>
</sst>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.00_);_(* \(#,##0.00\);_(* &quot;-&quot;??_);_(@_)"/>
    <numFmt numFmtId="165" formatCode="0.0%"/>
    <numFmt numFmtId="166" formatCode="_(* #,##0_);_(* \(#,##0\);_(* &quot;-&quot;??_);_(@_)"/>
    <numFmt numFmtId="167" formatCode="_(* #,##0.0_);_(* \(#,##0.0\);_(* &quot;-&quot;??_);_(@_)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.5"/>
      <color theme="1"/>
      <name val="Calibri"/>
      <family val="2"/>
      <scheme val="minor"/>
    </font>
    <font>
      <sz val="10.5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9" fontId="4" fillId="0" borderId="0" applyFont="0" applyFill="0" applyBorder="0" applyAlignment="0" applyProtection="0"/>
    <xf numFmtId="0" fontId="5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164" fontId="4" fillId="0" borderId="0" applyFont="0" applyFill="0" applyBorder="0" applyAlignment="0" applyProtection="0"/>
  </cellStyleXfs>
  <cellXfs count="26">
    <xf numFmtId="0" fontId="0" fillId="0" borderId="0" xfId="0"/>
    <xf numFmtId="0" fontId="0" fillId="0" borderId="0" xfId="0" applyFont="1"/>
    <xf numFmtId="165" fontId="6" fillId="4" borderId="1" xfId="3" applyNumberFormat="1" applyFont="1" applyBorder="1" applyAlignment="1" applyProtection="1">
      <alignment horizontal="right" vertical="center" wrapText="1"/>
    </xf>
    <xf numFmtId="165" fontId="7" fillId="2" borderId="1" xfId="1" applyNumberFormat="1" applyFont="1" applyFill="1" applyBorder="1" applyAlignment="1" applyProtection="1">
      <alignment horizontal="right" vertical="center" wrapText="1"/>
    </xf>
    <xf numFmtId="0" fontId="3" fillId="3" borderId="1" xfId="2" applyFont="1" applyBorder="1" applyAlignment="1" applyProtection="1">
      <alignment horizontal="center" vertical="center" textRotation="90" wrapText="1"/>
    </xf>
    <xf numFmtId="166" fontId="4" fillId="5" borderId="1" xfId="4" applyNumberFormat="1" applyBorder="1" applyAlignment="1">
      <alignment horizontal="center" vertical="center"/>
    </xf>
    <xf numFmtId="167" fontId="4" fillId="5" borderId="1" xfId="4" applyNumberFormat="1" applyBorder="1" applyAlignment="1">
      <alignment horizontal="center" vertical="center"/>
    </xf>
    <xf numFmtId="166" fontId="0" fillId="0" borderId="1" xfId="5" applyNumberFormat="1" applyFont="1" applyBorder="1" applyAlignment="1">
      <alignment horizontal="center" vertical="center"/>
    </xf>
    <xf numFmtId="167" fontId="0" fillId="0" borderId="1" xfId="5" applyNumberFormat="1" applyFont="1" applyBorder="1" applyAlignment="1">
      <alignment horizontal="center" vertical="center"/>
    </xf>
    <xf numFmtId="17" fontId="1" fillId="5" borderId="1" xfId="4" applyNumberFormat="1" applyFont="1" applyBorder="1" applyAlignment="1" applyProtection="1">
      <alignment horizontal="center" vertical="center" wrapText="1"/>
    </xf>
    <xf numFmtId="0" fontId="1" fillId="4" borderId="1" xfId="3" applyFont="1" applyBorder="1" applyAlignment="1" applyProtection="1">
      <alignment horizontal="center" vertical="center" wrapText="1"/>
    </xf>
    <xf numFmtId="0" fontId="2" fillId="2" borderId="1" xfId="0" applyFont="1" applyFill="1" applyBorder="1" applyAlignment="1" applyProtection="1">
      <alignment horizontal="center" vertical="center" wrapText="1"/>
    </xf>
    <xf numFmtId="17" fontId="4" fillId="5" borderId="1" xfId="4" applyNumberFormat="1" applyFont="1" applyBorder="1" applyAlignment="1" applyProtection="1">
      <alignment horizontal="center" vertical="center" wrapText="1"/>
    </xf>
    <xf numFmtId="17" fontId="4" fillId="6" borderId="1" xfId="4" applyNumberFormat="1" applyFont="1" applyFill="1" applyBorder="1" applyAlignment="1" applyProtection="1">
      <alignment horizontal="center" vertical="center" wrapText="1"/>
    </xf>
    <xf numFmtId="0" fontId="3" fillId="5" borderId="1" xfId="4" applyFont="1" applyBorder="1" applyAlignment="1">
      <alignment horizontal="center" vertical="center" wrapText="1"/>
    </xf>
    <xf numFmtId="0" fontId="3" fillId="5" borderId="1" xfId="4" quotePrefix="1" applyFont="1" applyBorder="1" applyAlignment="1" applyProtection="1">
      <alignment horizontal="center" vertical="center" wrapText="1"/>
    </xf>
    <xf numFmtId="0" fontId="3" fillId="5" borderId="1" xfId="4" applyFont="1" applyBorder="1"/>
    <xf numFmtId="0" fontId="3" fillId="3" borderId="1" xfId="2" applyFont="1" applyBorder="1" applyAlignment="1" applyProtection="1">
      <alignment horizontal="center" vertical="center" wrapText="1"/>
    </xf>
    <xf numFmtId="0" fontId="3" fillId="3" borderId="1" xfId="2" applyFont="1" applyBorder="1"/>
    <xf numFmtId="0" fontId="3" fillId="3" borderId="1" xfId="2" applyFont="1" applyBorder="1" applyAlignment="1" applyProtection="1">
      <alignment horizontal="center" vertical="center" textRotation="90" wrapText="1"/>
    </xf>
    <xf numFmtId="0" fontId="3" fillId="3" borderId="1" xfId="2" applyFont="1" applyBorder="1" applyAlignment="1">
      <alignment textRotation="90"/>
    </xf>
    <xf numFmtId="0" fontId="1" fillId="0" borderId="2" xfId="0" applyFont="1" applyBorder="1" applyAlignment="1">
      <alignment horizontal="left" wrapText="1"/>
    </xf>
    <xf numFmtId="0" fontId="2" fillId="2" borderId="1" xfId="0" applyFont="1" applyFill="1" applyBorder="1" applyAlignment="1" applyProtection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" fillId="2" borderId="1" xfId="0" applyFont="1" applyFill="1" applyBorder="1" applyAlignment="1" applyProtection="1">
      <alignment horizontal="left" vertical="center" wrapText="1"/>
    </xf>
    <xf numFmtId="0" fontId="1" fillId="0" borderId="1" xfId="0" applyFont="1" applyBorder="1" applyAlignment="1">
      <alignment vertical="center" wrapText="1"/>
    </xf>
  </cellXfs>
  <cellStyles count="6">
    <cellStyle name="20% - Accent1" xfId="3" builtinId="30"/>
    <cellStyle name="40% - Accent1" xfId="4" builtinId="31"/>
    <cellStyle name="Accent1" xfId="2" builtinId="29"/>
    <cellStyle name="Comma" xfId="5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A1:Q21"/>
  <sheetViews>
    <sheetView tabSelected="1" view="pageBreakPreview" topLeftCell="D1" zoomScale="85" zoomScaleNormal="100" zoomScaleSheetLayoutView="85" workbookViewId="0">
      <selection activeCell="S19" sqref="S19"/>
    </sheetView>
  </sheetViews>
  <sheetFormatPr defaultColWidth="9.140625" defaultRowHeight="15" x14ac:dyDescent="0.25"/>
  <cols>
    <col min="1" max="1" width="14.42578125" style="1" customWidth="1"/>
    <col min="2" max="17" width="9.7109375" style="1" customWidth="1"/>
    <col min="18" max="16384" width="9.140625" style="1"/>
  </cols>
  <sheetData>
    <row r="1" spans="1:17" ht="21" customHeight="1" x14ac:dyDescent="0.25">
      <c r="A1" s="14" t="s">
        <v>24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</row>
    <row r="2" spans="1:17" ht="21" customHeight="1" x14ac:dyDescent="0.25">
      <c r="A2" s="15" t="s">
        <v>25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</row>
    <row r="3" spans="1:17" ht="22.5" customHeight="1" x14ac:dyDescent="0.25">
      <c r="A3" s="17" t="s">
        <v>28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</row>
    <row r="4" spans="1:17" ht="15" customHeight="1" x14ac:dyDescent="0.25">
      <c r="A4" s="17" t="s">
        <v>0</v>
      </c>
      <c r="B4" s="17" t="s">
        <v>1</v>
      </c>
      <c r="C4" s="17"/>
      <c r="D4" s="17"/>
      <c r="E4" s="17" t="s">
        <v>2</v>
      </c>
      <c r="F4" s="18"/>
      <c r="G4" s="19" t="s">
        <v>3</v>
      </c>
      <c r="H4" s="19" t="s">
        <v>4</v>
      </c>
      <c r="I4" s="17" t="s">
        <v>5</v>
      </c>
      <c r="J4" s="17"/>
      <c r="K4" s="17"/>
      <c r="L4" s="17" t="s">
        <v>6</v>
      </c>
      <c r="M4" s="17"/>
      <c r="N4" s="17"/>
      <c r="O4" s="17"/>
      <c r="P4" s="19" t="s">
        <v>7</v>
      </c>
      <c r="Q4" s="19" t="s">
        <v>8</v>
      </c>
    </row>
    <row r="5" spans="1:17" ht="132" customHeight="1" x14ac:dyDescent="0.25">
      <c r="A5" s="17"/>
      <c r="B5" s="4" t="s">
        <v>9</v>
      </c>
      <c r="C5" s="4" t="s">
        <v>10</v>
      </c>
      <c r="D5" s="4" t="s">
        <v>11</v>
      </c>
      <c r="E5" s="4" t="s">
        <v>12</v>
      </c>
      <c r="F5" s="4" t="s">
        <v>13</v>
      </c>
      <c r="G5" s="20"/>
      <c r="H5" s="20"/>
      <c r="I5" s="4" t="s">
        <v>14</v>
      </c>
      <c r="J5" s="4" t="s">
        <v>15</v>
      </c>
      <c r="K5" s="4" t="s">
        <v>16</v>
      </c>
      <c r="L5" s="4" t="s">
        <v>17</v>
      </c>
      <c r="M5" s="4" t="s">
        <v>18</v>
      </c>
      <c r="N5" s="4" t="s">
        <v>15</v>
      </c>
      <c r="O5" s="4" t="s">
        <v>16</v>
      </c>
      <c r="P5" s="20"/>
      <c r="Q5" s="20"/>
    </row>
    <row r="6" spans="1:17" ht="24.95" customHeight="1" x14ac:dyDescent="0.25">
      <c r="A6" s="12" t="s">
        <v>19</v>
      </c>
      <c r="B6" s="5"/>
      <c r="C6" s="5"/>
      <c r="D6" s="5"/>
      <c r="E6" s="5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spans="1:17" ht="24.95" customHeight="1" x14ac:dyDescent="0.25">
      <c r="A7" s="13" t="s">
        <v>20</v>
      </c>
      <c r="B7" s="7"/>
      <c r="C7" s="7"/>
      <c r="D7" s="7"/>
      <c r="E7" s="7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</row>
    <row r="8" spans="1:17" ht="24.95" customHeight="1" x14ac:dyDescent="0.25">
      <c r="A8" s="12" t="s">
        <v>21</v>
      </c>
      <c r="B8" s="5"/>
      <c r="C8" s="5"/>
      <c r="D8" s="5"/>
      <c r="E8" s="5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</row>
    <row r="9" spans="1:17" ht="24.95" customHeight="1" x14ac:dyDescent="0.25">
      <c r="A9" s="13" t="s">
        <v>22</v>
      </c>
      <c r="B9" s="7"/>
      <c r="C9" s="7"/>
      <c r="D9" s="7"/>
      <c r="E9" s="7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</row>
    <row r="10" spans="1:17" ht="24.95" customHeight="1" x14ac:dyDescent="0.25">
      <c r="A10" s="12" t="s">
        <v>23</v>
      </c>
      <c r="B10" s="5">
        <v>278</v>
      </c>
      <c r="C10" s="5">
        <v>290.2</v>
      </c>
      <c r="D10" s="5">
        <v>126.92</v>
      </c>
      <c r="E10" s="5">
        <v>7385</v>
      </c>
      <c r="F10" s="6">
        <v>4.8811260000000001</v>
      </c>
      <c r="G10" s="6">
        <v>9.0361000000000011</v>
      </c>
      <c r="H10" s="6">
        <v>54.018060889100383</v>
      </c>
      <c r="I10" s="6"/>
      <c r="J10" s="6"/>
      <c r="K10" s="6"/>
      <c r="L10" s="6">
        <v>0.80164000000000002</v>
      </c>
      <c r="M10" s="6"/>
      <c r="N10" s="6"/>
      <c r="O10" s="6">
        <v>0.80164000000000002</v>
      </c>
      <c r="P10" s="6">
        <v>5.8134572000000011</v>
      </c>
      <c r="Q10" s="6">
        <v>13.789385083973782</v>
      </c>
    </row>
    <row r="11" spans="1:17" ht="24.95" customHeight="1" x14ac:dyDescent="0.25">
      <c r="A11" s="13" t="s">
        <v>27</v>
      </c>
      <c r="B11" s="7">
        <v>2595</v>
      </c>
      <c r="C11" s="7">
        <v>3029.4</v>
      </c>
      <c r="D11" s="7">
        <v>1642.1389999999999</v>
      </c>
      <c r="E11" s="7">
        <v>84876</v>
      </c>
      <c r="F11" s="8">
        <v>54.899259999999998</v>
      </c>
      <c r="G11" s="8">
        <v>80.928200000000004</v>
      </c>
      <c r="H11" s="8">
        <v>67.8369962509978</v>
      </c>
      <c r="I11" s="8"/>
      <c r="J11" s="8"/>
      <c r="K11" s="8"/>
      <c r="L11" s="8">
        <v>4.9341540000000004</v>
      </c>
      <c r="M11" s="8"/>
      <c r="N11" s="8"/>
      <c r="O11" s="8">
        <v>4.9341540000000004</v>
      </c>
      <c r="P11" s="8">
        <v>35.540754</v>
      </c>
      <c r="Q11" s="8">
        <v>13.88308756758509</v>
      </c>
    </row>
    <row r="12" spans="1:17" ht="24.95" customHeight="1" x14ac:dyDescent="0.25">
      <c r="A12" s="12" t="s">
        <v>32</v>
      </c>
      <c r="B12" s="5">
        <v>3229</v>
      </c>
      <c r="C12" s="5">
        <v>4173</v>
      </c>
      <c r="D12" s="5">
        <v>2205.1570000000002</v>
      </c>
      <c r="E12" s="5">
        <v>112239</v>
      </c>
      <c r="F12" s="6">
        <v>79.749519000000006</v>
      </c>
      <c r="G12" s="6">
        <v>110.26405</v>
      </c>
      <c r="H12" s="6">
        <v>72.325947577655654</v>
      </c>
      <c r="I12" s="6"/>
      <c r="J12" s="6"/>
      <c r="K12" s="6"/>
      <c r="L12" s="6">
        <v>6.9771140000000003</v>
      </c>
      <c r="M12" s="6"/>
      <c r="N12" s="6"/>
      <c r="O12" s="6">
        <v>6.9771140000000003</v>
      </c>
      <c r="P12" s="6">
        <v>47.182549999999999</v>
      </c>
      <c r="Q12" s="6">
        <v>14.787488170944554</v>
      </c>
    </row>
    <row r="13" spans="1:17" ht="18.75" customHeight="1" x14ac:dyDescent="0.25">
      <c r="A13" s="13" t="s">
        <v>30</v>
      </c>
      <c r="B13" s="7">
        <v>5746</v>
      </c>
      <c r="C13" s="7">
        <v>7996.4299999999994</v>
      </c>
      <c r="D13" s="7">
        <v>4377.8410000000003</v>
      </c>
      <c r="E13" s="7">
        <v>199633</v>
      </c>
      <c r="F13" s="8">
        <v>160.93577500000001</v>
      </c>
      <c r="G13" s="8">
        <v>218.89205000000001</v>
      </c>
      <c r="H13" s="8">
        <v>73.522896331776323</v>
      </c>
      <c r="I13" s="8"/>
      <c r="J13" s="8"/>
      <c r="K13" s="8"/>
      <c r="L13" s="8">
        <v>14.493932179999998</v>
      </c>
      <c r="M13" s="8"/>
      <c r="N13" s="8"/>
      <c r="O13" s="8">
        <v>14.493932179999998</v>
      </c>
      <c r="P13" s="8">
        <v>97.224709999999988</v>
      </c>
      <c r="Q13" s="8">
        <v>14.9076630621989</v>
      </c>
    </row>
    <row r="14" spans="1:17" ht="18" customHeight="1" x14ac:dyDescent="0.25">
      <c r="A14" s="12" t="s">
        <v>31</v>
      </c>
      <c r="B14" s="5">
        <v>5850</v>
      </c>
      <c r="C14" s="5">
        <v>8172.7300000000005</v>
      </c>
      <c r="D14" s="5">
        <v>4233.1009999999997</v>
      </c>
      <c r="E14" s="5">
        <v>226628</v>
      </c>
      <c r="F14" s="6">
        <v>169.432366</v>
      </c>
      <c r="G14" s="6">
        <v>211.64005000000003</v>
      </c>
      <c r="H14" s="6">
        <v>80.05685407842229</v>
      </c>
      <c r="I14" s="6"/>
      <c r="J14" s="6"/>
      <c r="K14" s="6"/>
      <c r="L14" s="6">
        <v>15.278960449999998</v>
      </c>
      <c r="M14" s="6"/>
      <c r="N14" s="6"/>
      <c r="O14" s="6">
        <v>15.278960449999998</v>
      </c>
      <c r="P14" s="6">
        <v>94.374301999999986</v>
      </c>
      <c r="Q14" s="6">
        <v>16.189746706682929</v>
      </c>
    </row>
    <row r="15" spans="1:17" ht="18.75" customHeight="1" x14ac:dyDescent="0.25">
      <c r="A15" s="13" t="s">
        <v>33</v>
      </c>
      <c r="B15" s="7">
        <v>9595</v>
      </c>
      <c r="C15" s="7">
        <v>13314.156666666668</v>
      </c>
      <c r="D15" s="7">
        <v>6135.0049999999983</v>
      </c>
      <c r="E15" s="7">
        <v>417839</v>
      </c>
      <c r="F15" s="8">
        <v>274.57396099999994</v>
      </c>
      <c r="G15" s="8">
        <v>364.77472299999999</v>
      </c>
      <c r="H15" s="8">
        <v>75.272200535671416</v>
      </c>
      <c r="I15" s="8"/>
      <c r="J15" s="8"/>
      <c r="K15" s="8"/>
      <c r="L15" s="8">
        <v>24.71165697</v>
      </c>
      <c r="M15" s="8"/>
      <c r="N15" s="8"/>
      <c r="O15" s="8">
        <v>27.550780070000002</v>
      </c>
      <c r="P15" s="8">
        <v>32.829654869999992</v>
      </c>
      <c r="Q15" s="8">
        <v>83.920407263178788</v>
      </c>
    </row>
    <row r="16" spans="1:17" x14ac:dyDescent="0.25">
      <c r="A16" s="9" t="s">
        <v>36</v>
      </c>
      <c r="B16" s="5">
        <v>14120</v>
      </c>
      <c r="C16" s="5">
        <v>19549.909999999996</v>
      </c>
      <c r="D16" s="5">
        <v>8546.125</v>
      </c>
      <c r="E16" s="5">
        <v>677627</v>
      </c>
      <c r="F16" s="6">
        <v>415.66007281976363</v>
      </c>
      <c r="G16" s="6">
        <v>561.04338964847693</v>
      </c>
      <c r="H16" s="6">
        <v>74.086974463810435</v>
      </c>
      <c r="I16" s="6">
        <v>0</v>
      </c>
      <c r="J16" s="6">
        <v>0</v>
      </c>
      <c r="K16" s="6">
        <v>0</v>
      </c>
      <c r="L16" s="6">
        <v>37.512986333778734</v>
      </c>
      <c r="M16" s="6">
        <v>0</v>
      </c>
      <c r="N16" s="6">
        <v>0</v>
      </c>
      <c r="O16" s="6">
        <v>37.512986333778734</v>
      </c>
      <c r="P16" s="6">
        <v>50.494406808362911</v>
      </c>
      <c r="Q16" s="6">
        <v>74.291369489988369</v>
      </c>
    </row>
    <row r="17" spans="1:17" x14ac:dyDescent="0.25">
      <c r="A17" s="10" t="s">
        <v>34</v>
      </c>
      <c r="B17" s="2">
        <f>IFERROR(((B16-B15)/B15),"-")</f>
        <v>0.47159979155810317</v>
      </c>
      <c r="C17" s="2">
        <f t="shared" ref="C17:Q17" si="0">IFERROR(((C16-C15)/C15),"-")</f>
        <v>0.46835511173945887</v>
      </c>
      <c r="D17" s="2">
        <f t="shared" si="0"/>
        <v>0.39301027464525334</v>
      </c>
      <c r="E17" s="2">
        <f t="shared" si="0"/>
        <v>0.6217418670827759</v>
      </c>
      <c r="F17" s="2">
        <f t="shared" si="0"/>
        <v>0.51383645887587903</v>
      </c>
      <c r="G17" s="2">
        <f t="shared" si="0"/>
        <v>0.53805446011805191</v>
      </c>
      <c r="H17" s="2">
        <f t="shared" si="0"/>
        <v>-1.5745867178405443E-2</v>
      </c>
      <c r="I17" s="2" t="str">
        <f t="shared" si="0"/>
        <v>-</v>
      </c>
      <c r="J17" s="2" t="str">
        <f t="shared" si="0"/>
        <v>-</v>
      </c>
      <c r="K17" s="2" t="str">
        <f t="shared" si="0"/>
        <v>-</v>
      </c>
      <c r="L17" s="2">
        <f t="shared" si="0"/>
        <v>0.51802796466945022</v>
      </c>
      <c r="M17" s="2" t="str">
        <f t="shared" si="0"/>
        <v>-</v>
      </c>
      <c r="N17" s="2" t="str">
        <f t="shared" si="0"/>
        <v>-</v>
      </c>
      <c r="O17" s="2">
        <f t="shared" si="0"/>
        <v>0.36159434464168083</v>
      </c>
      <c r="P17" s="2">
        <f t="shared" si="0"/>
        <v>0.53807303208981083</v>
      </c>
      <c r="Q17" s="2">
        <f t="shared" si="0"/>
        <v>-0.11474012206581949</v>
      </c>
    </row>
    <row r="18" spans="1:17" ht="39.75" customHeight="1" x14ac:dyDescent="0.25">
      <c r="A18" s="11" t="s">
        <v>35</v>
      </c>
      <c r="B18" s="3" t="str">
        <f>IFERROR((((B16/B6)^(1/10))-1),"-")</f>
        <v>-</v>
      </c>
      <c r="C18" s="3" t="str">
        <f t="shared" ref="C18:Q18" si="1">IFERROR((((C16/C6)^(1/10))-1),"-")</f>
        <v>-</v>
      </c>
      <c r="D18" s="3" t="str">
        <f t="shared" si="1"/>
        <v>-</v>
      </c>
      <c r="E18" s="3" t="str">
        <f t="shared" si="1"/>
        <v>-</v>
      </c>
      <c r="F18" s="3" t="str">
        <f t="shared" si="1"/>
        <v>-</v>
      </c>
      <c r="G18" s="3" t="str">
        <f t="shared" si="1"/>
        <v>-</v>
      </c>
      <c r="H18" s="3" t="str">
        <f t="shared" si="1"/>
        <v>-</v>
      </c>
      <c r="I18" s="3" t="str">
        <f t="shared" si="1"/>
        <v>-</v>
      </c>
      <c r="J18" s="3" t="str">
        <f t="shared" si="1"/>
        <v>-</v>
      </c>
      <c r="K18" s="3" t="str">
        <f t="shared" si="1"/>
        <v>-</v>
      </c>
      <c r="L18" s="3" t="str">
        <f t="shared" si="1"/>
        <v>-</v>
      </c>
      <c r="M18" s="3" t="str">
        <f t="shared" si="1"/>
        <v>-</v>
      </c>
      <c r="N18" s="3" t="str">
        <f t="shared" si="1"/>
        <v>-</v>
      </c>
      <c r="O18" s="3" t="str">
        <f t="shared" si="1"/>
        <v>-</v>
      </c>
      <c r="P18" s="3" t="str">
        <f t="shared" si="1"/>
        <v>-</v>
      </c>
      <c r="Q18" s="3" t="str">
        <f t="shared" si="1"/>
        <v>-</v>
      </c>
    </row>
    <row r="19" spans="1:17" x14ac:dyDescent="0.25">
      <c r="A19" s="22" t="s">
        <v>26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</row>
    <row r="20" spans="1:17" ht="15" customHeight="1" x14ac:dyDescent="0.25">
      <c r="A20" s="24" t="s">
        <v>37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</row>
    <row r="21" spans="1:17" x14ac:dyDescent="0.25">
      <c r="A21" s="21" t="s">
        <v>29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</row>
  </sheetData>
  <mergeCells count="15">
    <mergeCell ref="A21:Q21"/>
    <mergeCell ref="P4:P5"/>
    <mergeCell ref="Q4:Q5"/>
    <mergeCell ref="A19:Q19"/>
    <mergeCell ref="A20:Q20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rintOptions horizontalCentered="1"/>
  <pageMargins left="0.25" right="0.25" top="0.75" bottom="0.75" header="0.3" footer="0.3"/>
  <pageSetup paperSize="9" scale="5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STAR AIR</vt:lpstr>
      <vt:lpstr>'STAR AIR'!Print_Area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2023-11-09T11:04:52Z</cp:lastPrinted>
  <dcterms:created xsi:type="dcterms:W3CDTF">2018-10-29T04:00:16Z</dcterms:created>
  <dcterms:modified xsi:type="dcterms:W3CDTF">2025-11-19T12:14:12Z</dcterms:modified>
</cp:coreProperties>
</file>